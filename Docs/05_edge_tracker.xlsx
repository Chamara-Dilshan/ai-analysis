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y Setups" sheetId="2" state="visible" r:id="rId4"/>
    <sheet name="Trade Log" sheetId="3" state="visible" r:id="rId5"/>
    <sheet name="Journal" sheetId="4" state="visible" r:id="rId6"/>
    <sheet name="Dashboard" sheetId="5" state="visible" r:id="rId7"/>
    <sheet name="Review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<sst xmlns="http://schemas.openxmlformats.org/spreadsheetml/2006/main" count="146" uniqueCount="135">
  <si>
    <t xml:space="preserve">📈  BTC EDGE TRACKER  —  multi-setup</t>
  </si>
  <si>
    <t xml:space="preserve">WHAT THIS IS</t>
  </si>
  <si>
    <t xml:space="preserve">A scoreboard that tells you — with numbers AND lessons — whether each setup makes money. Open just THIS file each trading day; everything is here.</t>
  </si>
  <si>
    <t xml:space="preserve">HOW TO USE IT</t>
  </si>
  <si>
    <t xml:space="preserve">1.  Trade ONLY Setup 1 to start ('My Setups' tab holds your definitions).</t>
  </si>
  <si>
    <t xml:space="preserve">2.  Log each trade's numbers in 'Trade Log', then add emotion + lesson in 'Journal'.</t>
  </si>
  <si>
    <t xml:space="preserve">3.  Check 'Dashboard' for each setup's Expectancy + Verdict. 'Reviews' = weekly/monthly.</t>
  </si>
  <si>
    <t xml:space="preserve">THE GOLDEN RULE</t>
  </si>
  <si>
    <t xml:space="preserve">Test on DEMO for 30+ trades per setup before risking real money. Trade ONE setup at a time until its Verdict says EDGE ✓. Then add the next.</t>
  </si>
  <si>
    <t xml:space="preserve">HOW TO READ THE VERDICT</t>
  </si>
  <si>
    <t xml:space="preserve">EDGE ✓  = positive expectancy over 30+ trades — a real edge, keep trading it.</t>
  </si>
  <si>
    <t xml:space="preserve">NO EDGE ✗  = it loses over time — fix or drop it, no matter how good the trades felt.</t>
  </si>
  <si>
    <t xml:space="preserve">MY SETUPS — edit the cells to make them yours</t>
  </si>
  <si>
    <t xml:space="preserve">Start with Setup 1. Test ONE at a time on demo for 30+ trades. Only add the next setup after the current one's Verdict is EDGE ✓.</t>
  </si>
  <si>
    <t xml:space="preserve">SETUP 1  ★ START HERE</t>
  </si>
  <si>
    <t xml:space="preserve">SETUP 2</t>
  </si>
  <si>
    <t xml:space="preserve">SETUP 3</t>
  </si>
  <si>
    <t xml:space="preserve">Setup name</t>
  </si>
  <si>
    <t xml:space="preserve">4H Order Block Continuation</t>
  </si>
  <si>
    <t xml:space="preserve">Liquidity Sweep Reversal</t>
  </si>
  <si>
    <t xml:space="preserve">4H Fair Value Gap Continuation</t>
  </si>
  <si>
    <t xml:space="preserve">Best for</t>
  </si>
  <si>
    <t xml:space="preserve">START HERE. Most objective. Beginner-friendly.</t>
  </si>
  <si>
    <t xml:space="preserve">Intermediate. Catches reversals at extremes. Needs patience.</t>
  </si>
  <si>
    <t xml:space="preserve">Trending markets. Fewer but very clean signals.</t>
  </si>
  <si>
    <t xml:space="preserve">Market bias</t>
  </si>
  <si>
    <t xml:space="preserve">WITH the Daily trend.</t>
  </si>
  <si>
    <t xml:space="preserve">Counter-move, only at obvious range highs/lows.</t>
  </si>
  <si>
    <t xml:space="preserve">WITH a strong Daily / 4H trend.</t>
  </si>
  <si>
    <t xml:space="preserve">Higher-TF filter</t>
  </si>
  <si>
    <t xml:space="preserve">Daily clearly trending (HH/HL or LH/LL). Skip if ranging.</t>
  </si>
  <si>
    <t xml:space="preserve">Price at an obvious liquidity pool: equal highs/lows or a clear prior swing.</t>
  </si>
  <si>
    <t xml:space="preserve">A strong impulsive 4H leg that left an imbalance (gap between wicks).</t>
  </si>
  <si>
    <t xml:space="preserve">Entry trigger</t>
  </si>
  <si>
    <t xml:space="preserve">Retrace into an unmitigated 4H OB -&gt; 1H CHoCH in trend direction -&gt; enter the 1H OB / FVG.</t>
  </si>
  <si>
    <t xml:space="preserve">Sweep the liquidity (wick beyond high/low) -&gt; price reclaims -&gt; 1H CHoCH back -&gt; enter the OB / FVG from that CHoCH.</t>
  </si>
  <si>
    <t xml:space="preserve">Retrace into the 4H FVG (discount for longs / premium for shorts) -&gt; 1H rejection or CHoCH -&gt; enter inside the FVG.</t>
  </si>
  <si>
    <t xml:space="preserve">3 confluences</t>
  </si>
  <si>
    <t xml:space="preserve">1) Daily trend  2) 4H Order Block  3) 1H CHoCH</t>
  </si>
  <si>
    <t xml:space="preserve">1) Liquidity swept  2) Reclaim/CHoCH  3) Entry FVG/OB</t>
  </si>
  <si>
    <t xml:space="preserve">1) Trend  2) 4H FVG  3) 1H confirmation</t>
  </si>
  <si>
    <t xml:space="preserve">Stop-loss</t>
  </si>
  <si>
    <t xml:space="preserve">Beyond the far side of the 4H OB + buffer.</t>
  </si>
  <si>
    <t xml:space="preserve">Beyond the sweep wick extreme + buffer.</t>
  </si>
  <si>
    <t xml:space="preserve">Beyond the far edge of the FVG / the swing that made it.</t>
  </si>
  <si>
    <t xml:space="preserve">Take-profit</t>
  </si>
  <si>
    <t xml:space="preserve">Nearest opposing liquidity (swing low/high). Min 1:2. BE at TP1.</t>
  </si>
  <si>
    <t xml:space="preserve">Opposite liquidity or mid-range equilibrium. Min 1:2.</t>
  </si>
  <si>
    <t xml:space="preserve">Continuation to prior swing / next liquidity. Min 1:2.</t>
  </si>
  <si>
    <t xml:space="preserve">Invalidation</t>
  </si>
  <si>
    <t xml:space="preserve">1H candle closes beyond the far side of the OB.</t>
  </si>
  <si>
    <t xml:space="preserve">Price closes beyond the sweep extreme (no reclaim).</t>
  </si>
  <si>
    <t xml:space="preserve">4H candle closes fully through and past the FVG.</t>
  </si>
  <si>
    <t xml:space="preserve">Kill zone</t>
  </si>
  <si>
    <t xml:space="preserve">London 07-09 UTC / NY 13-15 UTC</t>
  </si>
  <si>
    <t xml:space="preserve">Min Risk:Reward</t>
  </si>
  <si>
    <t xml:space="preserve">1:2 (prefer 1:3)</t>
  </si>
  <si>
    <t xml:space="preserve">Warning</t>
  </si>
  <si>
    <t xml:space="preserve">No Order Block = no trade. Never chase mid-range.</t>
  </si>
  <si>
    <t xml:space="preserve">Riskier — a sweep can keep running. Wait for the reclaim.</t>
  </si>
  <si>
    <t xml:space="preserve">Only in strong trends. In chop, FVGs fill and fail.</t>
  </si>
  <si>
    <t xml:space="preserve">LOG EVERY TRADE (demo first).  Enter the WHITE cells — grey columns calculate themselves.</t>
  </si>
  <si>
    <t xml:space="preserve">You fill: Date, Setup (dropdown), Direction (dropdown), Entry, Stop, Exit, Followed rules? (dropdown), Notes.  Auto: Risk/unit, R Multiple, Result.  Row 4 = EXAMPLE (not counted). Real trades start row 5.</t>
  </si>
  <si>
    <t xml:space="preserve">#</t>
  </si>
  <si>
    <t xml:space="preserve">Date</t>
  </si>
  <si>
    <t xml:space="preserve">Setup</t>
  </si>
  <si>
    <t xml:space="preserve">Direction</t>
  </si>
  <si>
    <t xml:space="preserve">Entry</t>
  </si>
  <si>
    <t xml:space="preserve">Stop</t>
  </si>
  <si>
    <t xml:space="preserve">Exit</t>
  </si>
  <si>
    <t xml:space="preserve">Risk/unit</t>
  </si>
  <si>
    <t xml:space="preserve">R Multiple</t>
  </si>
  <si>
    <t xml:space="preserve">Result</t>
  </si>
  <si>
    <t xml:space="preserve">Followed rules? (Y/N)</t>
  </si>
  <si>
    <t xml:space="preserve">Notes</t>
  </si>
  <si>
    <t xml:space="preserve">EX</t>
  </si>
  <si>
    <t xml:space="preserve">2026-07-20</t>
  </si>
  <si>
    <t xml:space="preserve">Setup 1</t>
  </si>
  <si>
    <t xml:space="preserve">SHORT</t>
  </si>
  <si>
    <t xml:space="preserve">Y</t>
  </si>
  <si>
    <t xml:space="preserve">EXAMPLE — overwrite from row 5. Not counted.</t>
  </si>
  <si>
    <t xml:space="preserve">TRADE JOURNAL — the WHY behind each trade (numbers auto-fill from the Trade Log)</t>
  </si>
  <si>
    <t xml:space="preserve">#, Date, Setup, Result, R fill themselves from the Trade Log. You add: Emotion before/after, Mistake, Lesson. The 'Mistake' and 'Lesson' fields matter most — that is where you beat FOMO and emotion.</t>
  </si>
  <si>
    <t xml:space="preserve">R</t>
  </si>
  <si>
    <t xml:space="preserve">Emotion BEFORE</t>
  </si>
  <si>
    <t xml:space="preserve">Emotion AFTER</t>
  </si>
  <si>
    <t xml:space="preserve">Followed plan?</t>
  </si>
  <si>
    <t xml:space="preserve">Mistake / rule broken</t>
  </si>
  <si>
    <t xml:space="preserve">Lesson learned</t>
  </si>
  <si>
    <t xml:space="preserve">Calm, waited for setup</t>
  </si>
  <si>
    <t xml:space="preserve">Confident, followed plan</t>
  </si>
  <si>
    <t xml:space="preserve">None</t>
  </si>
  <si>
    <t xml:space="preserve">EXAMPLE — waiting paid off.</t>
  </si>
  <si>
    <t xml:space="preserve">PER-SETUP SCORECARD — does each setup have an edge?</t>
  </si>
  <si>
    <t xml:space="preserve">Trust a verdict only after 30+ trades. Expectancy = average R won or lost per trade.</t>
  </si>
  <si>
    <t xml:space="preserve">Metric</t>
  </si>
  <si>
    <t xml:space="preserve">Setup 2</t>
  </si>
  <si>
    <t xml:space="preserve">Setup 3</t>
  </si>
  <si>
    <t xml:space="preserve">ALL COMBINED</t>
  </si>
  <si>
    <t xml:space="preserve">Trades logged</t>
  </si>
  <si>
    <t xml:space="preserve">Wins</t>
  </si>
  <si>
    <t xml:space="preserve">Losses</t>
  </si>
  <si>
    <t xml:space="preserve">Breakeven</t>
  </si>
  <si>
    <t xml:space="preserve">Win rate</t>
  </si>
  <si>
    <t xml:space="preserve">Avg WIN (R)</t>
  </si>
  <si>
    <t xml:space="preserve">Avg LOSS (R)</t>
  </si>
  <si>
    <t xml:space="preserve">Total R banked</t>
  </si>
  <si>
    <t xml:space="preserve">EXPECTANCY (R / trade)</t>
  </si>
  <si>
    <t xml:space="preserve">VERDICT</t>
  </si>
  <si>
    <t xml:space="preserve">Rule adherence</t>
  </si>
  <si>
    <t xml:space="preserve">Read it: a positive Expectancy over 30+ trades is a real edge — keep trading that setup. Negative = stop and fix it. Rule adherence should be near 100%. Test on demo before real money.</t>
  </si>
  <si>
    <t xml:space="preserve">WEEKLY &amp; MONTHLY REVIEW — copy a block each period and fill the yellow cells</t>
  </si>
  <si>
    <t xml:space="preserve">📅 WEEKLY REVIEW</t>
  </si>
  <si>
    <t xml:space="preserve">Week of</t>
  </si>
  <si>
    <t xml:space="preserve">Total trades</t>
  </si>
  <si>
    <t xml:space="preserve">Wins / Losses</t>
  </si>
  <si>
    <t xml:space="preserve">Win rate %</t>
  </si>
  <si>
    <t xml:space="preserve">Total R this week</t>
  </si>
  <si>
    <t xml:space="preserve">Capital (end)</t>
  </si>
  <si>
    <t xml:space="preserve">Best trade (why it worked)</t>
  </si>
  <si>
    <t xml:space="preserve">Worst trade (which rule slipped)</t>
  </si>
  <si>
    <t xml:space="preserve">Times I broke a rule</t>
  </si>
  <si>
    <t xml:space="preserve">target: fewer than last week</t>
  </si>
  <si>
    <t xml:space="preserve">One fix for next week</t>
  </si>
  <si>
    <t xml:space="preserve">🏆 MONTHLY REVIEW</t>
  </si>
  <si>
    <t xml:space="preserve">Month</t>
  </si>
  <si>
    <t xml:space="preserve">Start / End capital</t>
  </si>
  <si>
    <t xml:space="preserve">Net return %</t>
  </si>
  <si>
    <t xml:space="preserve">Avg win R / Avg loss R</t>
  </si>
  <si>
    <t xml:space="preserve">Best setup (from Dashboard)</t>
  </si>
  <si>
    <t xml:space="preserve">Discipline score (1-10)</t>
  </si>
  <si>
    <t xml:space="preserve">how well did I follow my rules?</t>
  </si>
  <si>
    <t xml:space="preserve">Biggest lesson</t>
  </si>
  <si>
    <t xml:space="preserve">Next month goal</t>
  </si>
  <si>
    <t xml:space="preserve">Track discipline, not just profit. On a small account, staying in the game IS winning.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</si>
</sst>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"/>
    <numFmt numFmtId="167" formatCode="General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6"/>
      <color rgb="FF000000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B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5202B"/>
        <bgColor rgb="FF003366"/>
      </patternFill>
    </fill>
    <fill>
      <patternFill patternType="solid">
        <fgColor rgb="FF2E4057"/>
        <bgColor rgb="FF444444"/>
      </patternFill>
    </fill>
    <fill>
      <patternFill patternType="solid">
        <fgColor rgb="FF2E7D32"/>
        <bgColor rgb="FF008080"/>
      </patternFill>
    </fill>
    <fill>
      <patternFill patternType="solid">
        <fgColor rgb="FFEEEEEE"/>
        <bgColor rgb="FFE7F0E7"/>
      </patternFill>
    </fill>
    <fill>
      <patternFill patternType="solid">
        <fgColor rgb="FFFFF2B2"/>
        <bgColor rgb="FFFFF7D6"/>
      </patternFill>
    </fill>
    <fill>
      <patternFill patternType="solid">
        <fgColor rgb="FFE7F0E7"/>
        <bgColor rgb="FFEEEEEE"/>
      </patternFill>
    </fill>
    <fill>
      <patternFill patternType="solid">
        <fgColor rgb="FFF6F8FA"/>
        <bgColor rgb="FFFFFFFF"/>
      </patternFill>
    </fill>
    <fill>
      <patternFill patternType="solid">
        <fgColor rgb="FFFFF7D6"/>
        <bgColor rgb="FFFFF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6F8FA"/>
      <rgbColor rgb="FF808080"/>
      <rgbColor rgb="FF9999FF"/>
      <rgbColor rgb="FF993366"/>
      <rgbColor rgb="FFFFF7D6"/>
      <rgbColor rgb="FFE7F0E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B00000"/>
      <rgbColor rgb="FF008080"/>
      <rgbColor rgb="FF0000FF"/>
      <rgbColor rgb="FF00CCFF"/>
      <rgbColor rgb="FFEEEEEE"/>
      <rgbColor rgb="FFC6EFCE"/>
      <rgbColor rgb="FFFFF2B2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2E7D32"/>
      <rgbColor rgb="FF15202B"/>
      <rgbColor rgb="FF444444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5"/>
  </cols>
  <sheetData>
    <row r="1" customFormat="false" ht="31.5" hidden="false" customHeight="true" outlineLevel="0" collapsed="false">
      <c r="A1" s="2" t="s">
        <v>0</v>
      </c>
      <c r="B1" s="2"/>
    </row>
    <row r="3" customFormat="false" ht="21.75" hidden="false" customHeight="true" outlineLevel="0" collapsed="false">
      <c r="A3" s="3" t="s">
        <v>1</v>
      </c>
      <c r="B3" s="3"/>
    </row>
    <row r="4" customFormat="false" ht="31.5" hidden="false" customHeight="true" outlineLevel="0" collapsed="false">
      <c r="A4" s="4" t="s">
        <v>2</v>
      </c>
      <c r="B4" s="4"/>
    </row>
    <row r="5" customFormat="false" ht="9.75" hidden="false" customHeight="true" outlineLevel="0" collapsed="false">
      <c r="A5" s="5"/>
      <c r="B5" s="5"/>
    </row>
    <row r="6" customFormat="false" ht="21.75" hidden="false" customHeight="true" outlineLevel="0" collapsed="false">
      <c r="A6" s="3" t="s">
        <v>3</v>
      </c>
      <c r="B6" s="3"/>
    </row>
    <row r="7" customFormat="false" ht="19.5" hidden="false" customHeight="true" outlineLevel="0" collapsed="false">
      <c r="A7" s="4" t="s">
        <v>4</v>
      </c>
      <c r="B7" s="4"/>
    </row>
    <row r="8" customFormat="false" ht="19.5" hidden="false" customHeight="true" outlineLevel="0" collapsed="false">
      <c r="A8" s="4" t="s">
        <v>5</v>
      </c>
      <c r="B8" s="4"/>
    </row>
    <row r="9" customFormat="false" ht="19.5" hidden="false" customHeight="true" outlineLevel="0" collapsed="false">
      <c r="A9" s="4" t="s">
        <v>6</v>
      </c>
      <c r="B9" s="4"/>
    </row>
    <row r="10" customFormat="false" ht="9.75" hidden="false" customHeight="true" outlineLevel="0" collapsed="false">
      <c r="A10" s="5"/>
      <c r="B10" s="5"/>
    </row>
    <row r="11" customFormat="false" ht="21.75" hidden="false" customHeight="true" outlineLevel="0" collapsed="false">
      <c r="A11" s="3" t="s">
        <v>7</v>
      </c>
      <c r="B11" s="3"/>
    </row>
    <row r="12" customFormat="false" ht="19.5" hidden="false" customHeight="true" outlineLevel="0" collapsed="false">
      <c r="A12" s="6" t="s">
        <v>8</v>
      </c>
      <c r="B12" s="6"/>
    </row>
    <row r="13" customFormat="false" ht="9.75" hidden="false" customHeight="true" outlineLevel="0" collapsed="false">
      <c r="A13" s="5"/>
      <c r="B13" s="5"/>
    </row>
    <row r="14" customFormat="false" ht="21.75" hidden="false" customHeight="true" outlineLevel="0" collapsed="false">
      <c r="A14" s="3" t="s">
        <v>9</v>
      </c>
      <c r="B14" s="3"/>
    </row>
    <row r="15" customFormat="false" ht="19.5" hidden="false" customHeight="true" outlineLevel="0" collapsed="false">
      <c r="A15" s="4" t="s">
        <v>10</v>
      </c>
      <c r="B15" s="4"/>
    </row>
    <row r="16" customFormat="false" ht="19.5" hidden="false" customHeight="true" outlineLevel="0" collapsed="false">
      <c r="A16" s="4" t="s">
        <v>11</v>
      </c>
      <c r="B16" s="4"/>
    </row>
  </sheetData>
  <mergeCells count="15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42"/>
  </cols>
  <sheetData>
    <row r="1" customFormat="false" ht="25.5" hidden="false" customHeight="true" outlineLevel="0" collapsed="false">
      <c r="A1" s="7" t="s">
        <v>12</v>
      </c>
      <c r="B1" s="7"/>
      <c r="C1" s="7"/>
      <c r="D1" s="7"/>
    </row>
    <row r="2" customFormat="false" ht="27.75" hidden="false" customHeight="true" outlineLevel="0" collapsed="false">
      <c r="A2" s="8" t="s">
        <v>13</v>
      </c>
      <c r="B2" s="8"/>
      <c r="C2" s="8"/>
      <c r="D2" s="8"/>
    </row>
    <row r="3" customFormat="false" ht="21.75" hidden="false" customHeight="true" outlineLevel="0" collapsed="false">
      <c r="A3" s="9"/>
      <c r="B3" s="10" t="s">
        <v>14</v>
      </c>
      <c r="C3" s="11" t="s">
        <v>15</v>
      </c>
      <c r="D3" s="11" t="s">
        <v>16</v>
      </c>
    </row>
    <row r="4" customFormat="false" ht="27.75" hidden="false" customHeight="true" outlineLevel="0" collapsed="false">
      <c r="A4" s="12" t="s">
        <v>17</v>
      </c>
      <c r="B4" s="13" t="s">
        <v>18</v>
      </c>
      <c r="C4" s="13" t="s">
        <v>19</v>
      </c>
      <c r="D4" s="13" t="s">
        <v>20</v>
      </c>
    </row>
    <row r="5" customFormat="false" ht="27.75" hidden="false" customHeight="true" outlineLevel="0" collapsed="false">
      <c r="A5" s="12" t="s">
        <v>21</v>
      </c>
      <c r="B5" s="13" t="s">
        <v>22</v>
      </c>
      <c r="C5" s="13" t="s">
        <v>23</v>
      </c>
      <c r="D5" s="13" t="s">
        <v>24</v>
      </c>
    </row>
    <row r="6" customFormat="false" ht="27.75" hidden="false" customHeight="true" outlineLevel="0" collapsed="false">
      <c r="A6" s="12" t="s">
        <v>25</v>
      </c>
      <c r="B6" s="13" t="s">
        <v>26</v>
      </c>
      <c r="C6" s="13" t="s">
        <v>27</v>
      </c>
      <c r="D6" s="13" t="s">
        <v>28</v>
      </c>
    </row>
    <row r="7" customFormat="false" ht="42" hidden="false" customHeight="true" outlineLevel="0" collapsed="false">
      <c r="A7" s="12" t="s">
        <v>29</v>
      </c>
      <c r="B7" s="13" t="s">
        <v>30</v>
      </c>
      <c r="C7" s="13" t="s">
        <v>31</v>
      </c>
      <c r="D7" s="13" t="s">
        <v>32</v>
      </c>
    </row>
    <row r="8" customFormat="false" ht="55.5" hidden="false" customHeight="true" outlineLevel="0" collapsed="false">
      <c r="A8" s="12" t="s">
        <v>33</v>
      </c>
      <c r="B8" s="13" t="s">
        <v>34</v>
      </c>
      <c r="C8" s="13" t="s">
        <v>35</v>
      </c>
      <c r="D8" s="13" t="s">
        <v>36</v>
      </c>
    </row>
    <row r="9" customFormat="false" ht="27.75" hidden="false" customHeight="true" outlineLevel="0" collapsed="false">
      <c r="A9" s="12" t="s">
        <v>37</v>
      </c>
      <c r="B9" s="13" t="s">
        <v>38</v>
      </c>
      <c r="C9" s="13" t="s">
        <v>39</v>
      </c>
      <c r="D9" s="13" t="s">
        <v>40</v>
      </c>
    </row>
    <row r="10" customFormat="false" ht="27.75" hidden="false" customHeight="true" outlineLevel="0" collapsed="false">
      <c r="A10" s="12" t="s">
        <v>41</v>
      </c>
      <c r="B10" s="13" t="s">
        <v>42</v>
      </c>
      <c r="C10" s="13" t="s">
        <v>43</v>
      </c>
      <c r="D10" s="13" t="s">
        <v>44</v>
      </c>
    </row>
    <row r="11" customFormat="false" ht="27.75" hidden="false" customHeight="true" outlineLevel="0" collapsed="false">
      <c r="A11" s="12" t="s">
        <v>45</v>
      </c>
      <c r="B11" s="13" t="s">
        <v>46</v>
      </c>
      <c r="C11" s="13" t="s">
        <v>47</v>
      </c>
      <c r="D11" s="13" t="s">
        <v>48</v>
      </c>
    </row>
    <row r="12" customFormat="false" ht="27.75" hidden="false" customHeight="true" outlineLevel="0" collapsed="false">
      <c r="A12" s="12" t="s">
        <v>49</v>
      </c>
      <c r="B12" s="13" t="s">
        <v>50</v>
      </c>
      <c r="C12" s="13" t="s">
        <v>51</v>
      </c>
      <c r="D12" s="13" t="s">
        <v>52</v>
      </c>
    </row>
    <row r="13" customFormat="false" ht="27.75" hidden="false" customHeight="true" outlineLevel="0" collapsed="false">
      <c r="A13" s="12" t="s">
        <v>53</v>
      </c>
      <c r="B13" s="13" t="s">
        <v>54</v>
      </c>
      <c r="C13" s="13" t="s">
        <v>54</v>
      </c>
      <c r="D13" s="13" t="s">
        <v>54</v>
      </c>
    </row>
    <row r="14" customFormat="false" ht="27.75" hidden="false" customHeight="true" outlineLevel="0" collapsed="false">
      <c r="A14" s="12" t="s">
        <v>55</v>
      </c>
      <c r="B14" s="13" t="s">
        <v>56</v>
      </c>
      <c r="C14" s="13" t="s">
        <v>56</v>
      </c>
      <c r="D14" s="13" t="s">
        <v>56</v>
      </c>
    </row>
    <row r="15" customFormat="false" ht="27.75" hidden="false" customHeight="true" outlineLevel="0" collapsed="false">
      <c r="A15" s="12" t="s">
        <v>57</v>
      </c>
      <c r="B15" s="14" t="s">
        <v>58</v>
      </c>
      <c r="C15" s="14" t="s">
        <v>59</v>
      </c>
      <c r="D15" s="14" t="s">
        <v>60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11"/>
    <col collapsed="false" customWidth="true" hidden="false" outlineLevel="0" max="8" min="5" style="1" width="10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15"/>
    <col collapsed="false" customWidth="true" hidden="false" outlineLevel="0" max="12" min="12" style="1" width="34"/>
  </cols>
  <sheetData>
    <row r="1" customFormat="false" ht="24" hidden="false" customHeight="true" outlineLevel="0" collapsed="false">
      <c r="A1" s="15" t="s">
        <v>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27.75" hidden="false" customHeight="true" outlineLevel="0" collapsed="false">
      <c r="A2" s="8" t="s">
        <v>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30" hidden="false" customHeight="true" outlineLevel="0" collapsed="false">
      <c r="A3" s="11" t="s">
        <v>63</v>
      </c>
      <c r="B3" s="11" t="s">
        <v>64</v>
      </c>
      <c r="C3" s="11" t="s">
        <v>65</v>
      </c>
      <c r="D3" s="11" t="s">
        <v>66</v>
      </c>
      <c r="E3" s="11" t="s">
        <v>67</v>
      </c>
      <c r="F3" s="11" t="s">
        <v>68</v>
      </c>
      <c r="G3" s="11" t="s">
        <v>69</v>
      </c>
      <c r="H3" s="11" t="s">
        <v>70</v>
      </c>
      <c r="I3" s="11" t="s">
        <v>71</v>
      </c>
      <c r="J3" s="11" t="s">
        <v>72</v>
      </c>
      <c r="K3" s="11" t="s">
        <v>73</v>
      </c>
      <c r="L3" s="11" t="s">
        <v>74</v>
      </c>
    </row>
    <row r="4" customFormat="false" ht="25.5" hidden="false" customHeight="true" outlineLevel="0" collapsed="false">
      <c r="A4" s="16" t="s">
        <v>75</v>
      </c>
      <c r="B4" s="16" t="s">
        <v>76</v>
      </c>
      <c r="C4" s="16" t="s">
        <v>77</v>
      </c>
      <c r="D4" s="16" t="s">
        <v>78</v>
      </c>
      <c r="E4" s="16" t="n">
        <v>65500</v>
      </c>
      <c r="F4" s="16" t="n">
        <v>66000</v>
      </c>
      <c r="G4" s="16" t="n">
        <v>64500</v>
      </c>
      <c r="H4" s="16" t="n">
        <f aca="false">IF(OR($E4="",$F4=""),"",ABS($E4-$F4))</f>
        <v>500</v>
      </c>
      <c r="I4" s="16" t="n">
        <f aca="false">IF(OR($E4="",$F4="",$G4="",$H4=0),"",(($G4-$E4)*IF($D4="LONG",1,-1))/$H4)</f>
        <v>2</v>
      </c>
      <c r="J4" s="16" t="str">
        <f aca="false">IF($I4="","",IF($I4&gt;0,"WIN",IF($I4&lt;0,"LOSS","BE")))</f>
        <v>WIN</v>
      </c>
      <c r="K4" s="16" t="s">
        <v>79</v>
      </c>
      <c r="L4" s="17" t="s">
        <v>80</v>
      </c>
    </row>
    <row r="5" customFormat="false" ht="15" hidden="false" customHeight="true" outlineLevel="0" collapsed="false">
      <c r="A5" s="18"/>
      <c r="B5" s="18"/>
      <c r="C5" s="18"/>
      <c r="D5" s="18"/>
      <c r="E5" s="19"/>
      <c r="F5" s="19"/>
      <c r="G5" s="19"/>
      <c r="H5" s="20" t="str">
        <f aca="false">IF(OR($E5="",$F5=""),"",ABS($E5-$F5))</f>
        <v/>
      </c>
      <c r="I5" s="21" t="str">
        <f aca="false">IF(OR($E5="",$F5="",$G5="",$H5=0),"",(($G5-$E5)*IF($D5="LONG",1,-1))/$H5)</f>
        <v/>
      </c>
      <c r="J5" s="22" t="str">
        <f aca="false">IF($I5="","",IF($I5&gt;0,"WIN",IF($I5&lt;0,"LOSS","BE")))</f>
        <v/>
      </c>
      <c r="K5" s="18"/>
      <c r="L5" s="23"/>
    </row>
    <row r="6" customFormat="false" ht="15" hidden="false" customHeight="true" outlineLevel="0" collapsed="false">
      <c r="A6" s="24"/>
      <c r="B6" s="24"/>
      <c r="C6" s="24"/>
      <c r="D6" s="24"/>
      <c r="E6" s="25"/>
      <c r="F6" s="25"/>
      <c r="G6" s="25"/>
      <c r="H6" s="20" t="str">
        <f aca="false">IF(OR($E6="",$F6=""),"",ABS($E6-$F6))</f>
        <v/>
      </c>
      <c r="I6" s="21" t="str">
        <f aca="false">IF(OR($E6="",$F6="",$G6="",$H6=0),"",(($G6-$E6)*IF($D6="LONG",1,-1))/$H6)</f>
        <v/>
      </c>
      <c r="J6" s="22" t="str">
        <f aca="false">IF($I6="","",IF($I6&gt;0,"WIN",IF($I6&lt;0,"LOSS","BE")))</f>
        <v/>
      </c>
      <c r="K6" s="24"/>
      <c r="L6" s="26"/>
    </row>
    <row r="7" customFormat="false" ht="15" hidden="false" customHeight="true" outlineLevel="0" collapsed="false">
      <c r="A7" s="18"/>
      <c r="B7" s="18"/>
      <c r="C7" s="18"/>
      <c r="D7" s="18"/>
      <c r="E7" s="19"/>
      <c r="F7" s="19"/>
      <c r="G7" s="19"/>
      <c r="H7" s="20" t="str">
        <f aca="false">IF(OR($E7="",$F7=""),"",ABS($E7-$F7))</f>
        <v/>
      </c>
      <c r="I7" s="21" t="str">
        <f aca="false">IF(OR($E7="",$F7="",$G7="",$H7=0),"",(($G7-$E7)*IF($D7="LONG",1,-1))/$H7)</f>
        <v/>
      </c>
      <c r="J7" s="22" t="str">
        <f aca="false">IF($I7="","",IF($I7&gt;0,"WIN",IF($I7&lt;0,"LOSS","BE")))</f>
        <v/>
      </c>
      <c r="K7" s="18"/>
      <c r="L7" s="23"/>
    </row>
    <row r="8" customFormat="false" ht="15" hidden="false" customHeight="true" outlineLevel="0" collapsed="false">
      <c r="A8" s="24"/>
      <c r="B8" s="24"/>
      <c r="C8" s="24"/>
      <c r="D8" s="24"/>
      <c r="E8" s="25"/>
      <c r="F8" s="25"/>
      <c r="G8" s="25"/>
      <c r="H8" s="20" t="str">
        <f aca="false">IF(OR($E8="",$F8=""),"",ABS($E8-$F8))</f>
        <v/>
      </c>
      <c r="I8" s="21" t="str">
        <f aca="false">IF(OR($E8="",$F8="",$G8="",$H8=0),"",(($G8-$E8)*IF($D8="LONG",1,-1))/$H8)</f>
        <v/>
      </c>
      <c r="J8" s="22" t="str">
        <f aca="false">IF($I8="","",IF($I8&gt;0,"WIN",IF($I8&lt;0,"LOSS","BE")))</f>
        <v/>
      </c>
      <c r="K8" s="24"/>
      <c r="L8" s="26"/>
    </row>
    <row r="9" customFormat="false" ht="15" hidden="false" customHeight="true" outlineLevel="0" collapsed="false">
      <c r="A9" s="18"/>
      <c r="B9" s="18"/>
      <c r="C9" s="18"/>
      <c r="D9" s="18"/>
      <c r="E9" s="19"/>
      <c r="F9" s="19"/>
      <c r="G9" s="19"/>
      <c r="H9" s="20" t="str">
        <f aca="false">IF(OR($E9="",$F9=""),"",ABS($E9-$F9))</f>
        <v/>
      </c>
      <c r="I9" s="21" t="str">
        <f aca="false">IF(OR($E9="",$F9="",$G9="",$H9=0),"",(($G9-$E9)*IF($D9="LONG",1,-1))/$H9)</f>
        <v/>
      </c>
      <c r="J9" s="22" t="str">
        <f aca="false">IF($I9="","",IF($I9&gt;0,"WIN",IF($I9&lt;0,"LOSS","BE")))</f>
        <v/>
      </c>
      <c r="K9" s="18"/>
      <c r="L9" s="23"/>
    </row>
    <row r="10" customFormat="false" ht="15" hidden="false" customHeight="true" outlineLevel="0" collapsed="false">
      <c r="A10" s="24"/>
      <c r="B10" s="24"/>
      <c r="C10" s="24"/>
      <c r="D10" s="24"/>
      <c r="E10" s="25"/>
      <c r="F10" s="25"/>
      <c r="G10" s="25"/>
      <c r="H10" s="20" t="str">
        <f aca="false">IF(OR($E10="",$F10=""),"",ABS($E10-$F10))</f>
        <v/>
      </c>
      <c r="I10" s="21" t="str">
        <f aca="false">IF(OR($E10="",$F10="",$G10="",$H10=0),"",(($G10-$E10)*IF($D10="LONG",1,-1))/$H10)</f>
        <v/>
      </c>
      <c r="J10" s="22" t="str">
        <f aca="false">IF($I10="","",IF($I10&gt;0,"WIN",IF($I10&lt;0,"LOSS","BE")))</f>
        <v/>
      </c>
      <c r="K10" s="24"/>
      <c r="L10" s="26"/>
    </row>
    <row r="11" customFormat="false" ht="15" hidden="false" customHeight="true" outlineLevel="0" collapsed="false">
      <c r="A11" s="18"/>
      <c r="B11" s="18"/>
      <c r="C11" s="18"/>
      <c r="D11" s="18"/>
      <c r="E11" s="19"/>
      <c r="F11" s="19"/>
      <c r="G11" s="19"/>
      <c r="H11" s="20" t="str">
        <f aca="false">IF(OR($E11="",$F11=""),"",ABS($E11-$F11))</f>
        <v/>
      </c>
      <c r="I11" s="21" t="str">
        <f aca="false">IF(OR($E11="",$F11="",$G11="",$H11=0),"",(($G11-$E11)*IF($D11="LONG",1,-1))/$H11)</f>
        <v/>
      </c>
      <c r="J11" s="22" t="str">
        <f aca="false">IF($I11="","",IF($I11&gt;0,"WIN",IF($I11&lt;0,"LOSS","BE")))</f>
        <v/>
      </c>
      <c r="K11" s="18"/>
      <c r="L11" s="23"/>
    </row>
    <row r="12" customFormat="false" ht="15" hidden="false" customHeight="true" outlineLevel="0" collapsed="false">
      <c r="A12" s="24"/>
      <c r="B12" s="24"/>
      <c r="C12" s="24"/>
      <c r="D12" s="24"/>
      <c r="E12" s="25"/>
      <c r="F12" s="25"/>
      <c r="G12" s="25"/>
      <c r="H12" s="20" t="str">
        <f aca="false">IF(OR($E12="",$F12=""),"",ABS($E12-$F12))</f>
        <v/>
      </c>
      <c r="I12" s="21" t="str">
        <f aca="false">IF(OR($E12="",$F12="",$G12="",$H12=0),"",(($G12-$E12)*IF($D12="LONG",1,-1))/$H12)</f>
        <v/>
      </c>
      <c r="J12" s="22" t="str">
        <f aca="false">IF($I12="","",IF($I12&gt;0,"WIN",IF($I12&lt;0,"LOSS","BE")))</f>
        <v/>
      </c>
      <c r="K12" s="24"/>
      <c r="L12" s="26"/>
    </row>
    <row r="13" customFormat="false" ht="15" hidden="false" customHeight="true" outlineLevel="0" collapsed="false">
      <c r="A13" s="18"/>
      <c r="B13" s="18"/>
      <c r="C13" s="18"/>
      <c r="D13" s="18"/>
      <c r="E13" s="19"/>
      <c r="F13" s="19"/>
      <c r="G13" s="19"/>
      <c r="H13" s="20" t="str">
        <f aca="false">IF(OR($E13="",$F13=""),"",ABS($E13-$F13))</f>
        <v/>
      </c>
      <c r="I13" s="21" t="str">
        <f aca="false">IF(OR($E13="",$F13="",$G13="",$H13=0),"",(($G13-$E13)*IF($D13="LONG",1,-1))/$H13)</f>
        <v/>
      </c>
      <c r="J13" s="22" t="str">
        <f aca="false">IF($I13="","",IF($I13&gt;0,"WIN",IF($I13&lt;0,"LOSS","BE")))</f>
        <v/>
      </c>
      <c r="K13" s="18"/>
      <c r="L13" s="23"/>
    </row>
    <row r="14" customFormat="false" ht="15" hidden="false" customHeight="true" outlineLevel="0" collapsed="false">
      <c r="A14" s="24"/>
      <c r="B14" s="24"/>
      <c r="C14" s="24"/>
      <c r="D14" s="24"/>
      <c r="E14" s="25"/>
      <c r="F14" s="25"/>
      <c r="G14" s="25"/>
      <c r="H14" s="20" t="str">
        <f aca="false">IF(OR($E14="",$F14=""),"",ABS($E14-$F14))</f>
        <v/>
      </c>
      <c r="I14" s="21" t="str">
        <f aca="false">IF(OR($E14="",$F14="",$G14="",$H14=0),"",(($G14-$E14)*IF($D14="LONG",1,-1))/$H14)</f>
        <v/>
      </c>
      <c r="J14" s="22" t="str">
        <f aca="false">IF($I14="","",IF($I14&gt;0,"WIN",IF($I14&lt;0,"LOSS","BE")))</f>
        <v/>
      </c>
      <c r="K14" s="24"/>
      <c r="L14" s="26"/>
    </row>
    <row r="15" customFormat="false" ht="15" hidden="false" customHeight="true" outlineLevel="0" collapsed="false">
      <c r="A15" s="18"/>
      <c r="B15" s="18"/>
      <c r="C15" s="18"/>
      <c r="D15" s="18"/>
      <c r="E15" s="19"/>
      <c r="F15" s="19"/>
      <c r="G15" s="19"/>
      <c r="H15" s="20" t="str">
        <f aca="false">IF(OR($E15="",$F15=""),"",ABS($E15-$F15))</f>
        <v/>
      </c>
      <c r="I15" s="21" t="str">
        <f aca="false">IF(OR($E15="",$F15="",$G15="",$H15=0),"",(($G15-$E15)*IF($D15="LONG",1,-1))/$H15)</f>
        <v/>
      </c>
      <c r="J15" s="22" t="str">
        <f aca="false">IF($I15="","",IF($I15&gt;0,"WIN",IF($I15&lt;0,"LOSS","BE")))</f>
        <v/>
      </c>
      <c r="K15" s="18"/>
      <c r="L15" s="23"/>
    </row>
    <row r="16" customFormat="false" ht="15" hidden="false" customHeight="true" outlineLevel="0" collapsed="false">
      <c r="A16" s="24"/>
      <c r="B16" s="24"/>
      <c r="C16" s="24"/>
      <c r="D16" s="24"/>
      <c r="E16" s="25"/>
      <c r="F16" s="25"/>
      <c r="G16" s="25"/>
      <c r="H16" s="20" t="str">
        <f aca="false">IF(OR($E16="",$F16=""),"",ABS($E16-$F16))</f>
        <v/>
      </c>
      <c r="I16" s="21" t="str">
        <f aca="false">IF(OR($E16="",$F16="",$G16="",$H16=0),"",(($G16-$E16)*IF($D16="LONG",1,-1))/$H16)</f>
        <v/>
      </c>
      <c r="J16" s="22" t="str">
        <f aca="false">IF($I16="","",IF($I16&gt;0,"WIN",IF($I16&lt;0,"LOSS","BE")))</f>
        <v/>
      </c>
      <c r="K16" s="24"/>
      <c r="L16" s="26"/>
    </row>
    <row r="17" customFormat="false" ht="15" hidden="false" customHeight="true" outlineLevel="0" collapsed="false">
      <c r="A17" s="18"/>
      <c r="B17" s="18"/>
      <c r="C17" s="18"/>
      <c r="D17" s="18"/>
      <c r="E17" s="19"/>
      <c r="F17" s="19"/>
      <c r="G17" s="19"/>
      <c r="H17" s="20" t="str">
        <f aca="false">IF(OR($E17="",$F17=""),"",ABS($E17-$F17))</f>
        <v/>
      </c>
      <c r="I17" s="21" t="str">
        <f aca="false">IF(OR($E17="",$F17="",$G17="",$H17=0),"",(($G17-$E17)*IF($D17="LONG",1,-1))/$H17)</f>
        <v/>
      </c>
      <c r="J17" s="22" t="str">
        <f aca="false">IF($I17="","",IF($I17&gt;0,"WIN",IF($I17&lt;0,"LOSS","BE")))</f>
        <v/>
      </c>
      <c r="K17" s="18"/>
      <c r="L17" s="23"/>
    </row>
    <row r="18" customFormat="false" ht="15" hidden="false" customHeight="true" outlineLevel="0" collapsed="false">
      <c r="A18" s="24"/>
      <c r="B18" s="24"/>
      <c r="C18" s="24"/>
      <c r="D18" s="24"/>
      <c r="E18" s="25"/>
      <c r="F18" s="25"/>
      <c r="G18" s="25"/>
      <c r="H18" s="20" t="str">
        <f aca="false">IF(OR($E18="",$F18=""),"",ABS($E18-$F18))</f>
        <v/>
      </c>
      <c r="I18" s="21" t="str">
        <f aca="false">IF(OR($E18="",$F18="",$G18="",$H18=0),"",(($G18-$E18)*IF($D18="LONG",1,-1))/$H18)</f>
        <v/>
      </c>
      <c r="J18" s="22" t="str">
        <f aca="false">IF($I18="","",IF($I18&gt;0,"WIN",IF($I18&lt;0,"LOSS","BE")))</f>
        <v/>
      </c>
      <c r="K18" s="24"/>
      <c r="L18" s="26"/>
    </row>
    <row r="19" customFormat="false" ht="15" hidden="false" customHeight="true" outlineLevel="0" collapsed="false">
      <c r="A19" s="18"/>
      <c r="B19" s="18"/>
      <c r="C19" s="18"/>
      <c r="D19" s="18"/>
      <c r="E19" s="19"/>
      <c r="F19" s="19"/>
      <c r="G19" s="19"/>
      <c r="H19" s="20" t="str">
        <f aca="false">IF(OR($E19="",$F19=""),"",ABS($E19-$F19))</f>
        <v/>
      </c>
      <c r="I19" s="21" t="str">
        <f aca="false">IF(OR($E19="",$F19="",$G19="",$H19=0),"",(($G19-$E19)*IF($D19="LONG",1,-1))/$H19)</f>
        <v/>
      </c>
      <c r="J19" s="22" t="str">
        <f aca="false">IF($I19="","",IF($I19&gt;0,"WIN",IF($I19&lt;0,"LOSS","BE")))</f>
        <v/>
      </c>
      <c r="K19" s="18"/>
      <c r="L19" s="23"/>
    </row>
    <row r="20" customFormat="false" ht="15" hidden="false" customHeight="true" outlineLevel="0" collapsed="false">
      <c r="A20" s="24"/>
      <c r="B20" s="24"/>
      <c r="C20" s="24"/>
      <c r="D20" s="24"/>
      <c r="E20" s="25"/>
      <c r="F20" s="25"/>
      <c r="G20" s="25"/>
      <c r="H20" s="20" t="str">
        <f aca="false">IF(OR($E20="",$F20=""),"",ABS($E20-$F20))</f>
        <v/>
      </c>
      <c r="I20" s="21" t="str">
        <f aca="false">IF(OR($E20="",$F20="",$G20="",$H20=0),"",(($G20-$E20)*IF($D20="LONG",1,-1))/$H20)</f>
        <v/>
      </c>
      <c r="J20" s="22" t="str">
        <f aca="false">IF($I20="","",IF($I20&gt;0,"WIN",IF($I20&lt;0,"LOSS","BE")))</f>
        <v/>
      </c>
      <c r="K20" s="24"/>
      <c r="L20" s="26"/>
    </row>
    <row r="21" customFormat="false" ht="15" hidden="false" customHeight="true" outlineLevel="0" collapsed="false">
      <c r="A21" s="18"/>
      <c r="B21" s="18"/>
      <c r="C21" s="18"/>
      <c r="D21" s="18"/>
      <c r="E21" s="19"/>
      <c r="F21" s="19"/>
      <c r="G21" s="19"/>
      <c r="H21" s="20" t="str">
        <f aca="false">IF(OR($E21="",$F21=""),"",ABS($E21-$F21))</f>
        <v/>
      </c>
      <c r="I21" s="21" t="str">
        <f aca="false">IF(OR($E21="",$F21="",$G21="",$H21=0),"",(($G21-$E21)*IF($D21="LONG",1,-1))/$H21)</f>
        <v/>
      </c>
      <c r="J21" s="22" t="str">
        <f aca="false">IF($I21="","",IF($I21&gt;0,"WIN",IF($I21&lt;0,"LOSS","BE")))</f>
        <v/>
      </c>
      <c r="K21" s="18"/>
      <c r="L21" s="23"/>
    </row>
    <row r="22" customFormat="false" ht="15" hidden="false" customHeight="true" outlineLevel="0" collapsed="false">
      <c r="A22" s="24"/>
      <c r="B22" s="24"/>
      <c r="C22" s="24"/>
      <c r="D22" s="24"/>
      <c r="E22" s="25"/>
      <c r="F22" s="25"/>
      <c r="G22" s="25"/>
      <c r="H22" s="20" t="str">
        <f aca="false">IF(OR($E22="",$F22=""),"",ABS($E22-$F22))</f>
        <v/>
      </c>
      <c r="I22" s="21" t="str">
        <f aca="false">IF(OR($E22="",$F22="",$G22="",$H22=0),"",(($G22-$E22)*IF($D22="LONG",1,-1))/$H22)</f>
        <v/>
      </c>
      <c r="J22" s="22" t="str">
        <f aca="false">IF($I22="","",IF($I22&gt;0,"WIN",IF($I22&lt;0,"LOSS","BE")))</f>
        <v/>
      </c>
      <c r="K22" s="24"/>
      <c r="L22" s="26"/>
    </row>
    <row r="23" customFormat="false" ht="15" hidden="false" customHeight="true" outlineLevel="0" collapsed="false">
      <c r="A23" s="18"/>
      <c r="B23" s="18"/>
      <c r="C23" s="18"/>
      <c r="D23" s="18"/>
      <c r="E23" s="19"/>
      <c r="F23" s="19"/>
      <c r="G23" s="19"/>
      <c r="H23" s="20" t="str">
        <f aca="false">IF(OR($E23="",$F23=""),"",ABS($E23-$F23))</f>
        <v/>
      </c>
      <c r="I23" s="21" t="str">
        <f aca="false">IF(OR($E23="",$F23="",$G23="",$H23=0),"",(($G23-$E23)*IF($D23="LONG",1,-1))/$H23)</f>
        <v/>
      </c>
      <c r="J23" s="22" t="str">
        <f aca="false">IF($I23="","",IF($I23&gt;0,"WIN",IF($I23&lt;0,"LOSS","BE")))</f>
        <v/>
      </c>
      <c r="K23" s="18"/>
      <c r="L23" s="23"/>
    </row>
    <row r="24" customFormat="false" ht="15" hidden="false" customHeight="true" outlineLevel="0" collapsed="false">
      <c r="A24" s="24"/>
      <c r="B24" s="24"/>
      <c r="C24" s="24"/>
      <c r="D24" s="24"/>
      <c r="E24" s="25"/>
      <c r="F24" s="25"/>
      <c r="G24" s="25"/>
      <c r="H24" s="20" t="str">
        <f aca="false">IF(OR($E24="",$F24=""),"",ABS($E24-$F24))</f>
        <v/>
      </c>
      <c r="I24" s="21" t="str">
        <f aca="false">IF(OR($E24="",$F24="",$G24="",$H24=0),"",(($G24-$E24)*IF($D24="LONG",1,-1))/$H24)</f>
        <v/>
      </c>
      <c r="J24" s="22" t="str">
        <f aca="false">IF($I24="","",IF($I24&gt;0,"WIN",IF($I24&lt;0,"LOSS","BE")))</f>
        <v/>
      </c>
      <c r="K24" s="24"/>
      <c r="L24" s="26"/>
    </row>
    <row r="25" customFormat="false" ht="15" hidden="false" customHeight="true" outlineLevel="0" collapsed="false">
      <c r="A25" s="18"/>
      <c r="B25" s="18"/>
      <c r="C25" s="18"/>
      <c r="D25" s="18"/>
      <c r="E25" s="19"/>
      <c r="F25" s="19"/>
      <c r="G25" s="19"/>
      <c r="H25" s="20" t="str">
        <f aca="false">IF(OR($E25="",$F25=""),"",ABS($E25-$F25))</f>
        <v/>
      </c>
      <c r="I25" s="21" t="str">
        <f aca="false">IF(OR($E25="",$F25="",$G25="",$H25=0),"",(($G25-$E25)*IF($D25="LONG",1,-1))/$H25)</f>
        <v/>
      </c>
      <c r="J25" s="22" t="str">
        <f aca="false">IF($I25="","",IF($I25&gt;0,"WIN",IF($I25&lt;0,"LOSS","BE")))</f>
        <v/>
      </c>
      <c r="K25" s="18"/>
      <c r="L25" s="23"/>
    </row>
    <row r="26" customFormat="false" ht="15" hidden="false" customHeight="true" outlineLevel="0" collapsed="false">
      <c r="A26" s="24"/>
      <c r="B26" s="24"/>
      <c r="C26" s="24"/>
      <c r="D26" s="24"/>
      <c r="E26" s="25"/>
      <c r="F26" s="25"/>
      <c r="G26" s="25"/>
      <c r="H26" s="20" t="str">
        <f aca="false">IF(OR($E26="",$F26=""),"",ABS($E26-$F26))</f>
        <v/>
      </c>
      <c r="I26" s="21" t="str">
        <f aca="false">IF(OR($E26="",$F26="",$G26="",$H26=0),"",(($G26-$E26)*IF($D26="LONG",1,-1))/$H26)</f>
        <v/>
      </c>
      <c r="J26" s="22" t="str">
        <f aca="false">IF($I26="","",IF($I26&gt;0,"WIN",IF($I26&lt;0,"LOSS","BE")))</f>
        <v/>
      </c>
      <c r="K26" s="24"/>
      <c r="L26" s="26"/>
    </row>
    <row r="27" customFormat="false" ht="15" hidden="false" customHeight="true" outlineLevel="0" collapsed="false">
      <c r="A27" s="18"/>
      <c r="B27" s="18"/>
      <c r="C27" s="18"/>
      <c r="D27" s="18"/>
      <c r="E27" s="19"/>
      <c r="F27" s="19"/>
      <c r="G27" s="19"/>
      <c r="H27" s="20" t="str">
        <f aca="false">IF(OR($E27="",$F27=""),"",ABS($E27-$F27))</f>
        <v/>
      </c>
      <c r="I27" s="21" t="str">
        <f aca="false">IF(OR($E27="",$F27="",$G27="",$H27=0),"",(($G27-$E27)*IF($D27="LONG",1,-1))/$H27)</f>
        <v/>
      </c>
      <c r="J27" s="22" t="str">
        <f aca="false">IF($I27="","",IF($I27&gt;0,"WIN",IF($I27&lt;0,"LOSS","BE")))</f>
        <v/>
      </c>
      <c r="K27" s="18"/>
      <c r="L27" s="23"/>
    </row>
    <row r="28" customFormat="false" ht="15" hidden="false" customHeight="true" outlineLevel="0" collapsed="false">
      <c r="A28" s="24"/>
      <c r="B28" s="24"/>
      <c r="C28" s="24"/>
      <c r="D28" s="24"/>
      <c r="E28" s="25"/>
      <c r="F28" s="25"/>
      <c r="G28" s="25"/>
      <c r="H28" s="20" t="str">
        <f aca="false">IF(OR($E28="",$F28=""),"",ABS($E28-$F28))</f>
        <v/>
      </c>
      <c r="I28" s="21" t="str">
        <f aca="false">IF(OR($E28="",$F28="",$G28="",$H28=0),"",(($G28-$E28)*IF($D28="LONG",1,-1))/$H28)</f>
        <v/>
      </c>
      <c r="J28" s="22" t="str">
        <f aca="false">IF($I28="","",IF($I28&gt;0,"WIN",IF($I28&lt;0,"LOSS","BE")))</f>
        <v/>
      </c>
      <c r="K28" s="24"/>
      <c r="L28" s="26"/>
    </row>
    <row r="29" customFormat="false" ht="15" hidden="false" customHeight="true" outlineLevel="0" collapsed="false">
      <c r="A29" s="18"/>
      <c r="B29" s="18"/>
      <c r="C29" s="18"/>
      <c r="D29" s="18"/>
      <c r="E29" s="19"/>
      <c r="F29" s="19"/>
      <c r="G29" s="19"/>
      <c r="H29" s="20" t="str">
        <f aca="false">IF(OR($E29="",$F29=""),"",ABS($E29-$F29))</f>
        <v/>
      </c>
      <c r="I29" s="21" t="str">
        <f aca="false">IF(OR($E29="",$F29="",$G29="",$H29=0),"",(($G29-$E29)*IF($D29="LONG",1,-1))/$H29)</f>
        <v/>
      </c>
      <c r="J29" s="22" t="str">
        <f aca="false">IF($I29="","",IF($I29&gt;0,"WIN",IF($I29&lt;0,"LOSS","BE")))</f>
        <v/>
      </c>
      <c r="K29" s="18"/>
      <c r="L29" s="23"/>
    </row>
    <row r="30" customFormat="false" ht="15" hidden="false" customHeight="true" outlineLevel="0" collapsed="false">
      <c r="A30" s="24"/>
      <c r="B30" s="24"/>
      <c r="C30" s="24"/>
      <c r="D30" s="24"/>
      <c r="E30" s="25"/>
      <c r="F30" s="25"/>
      <c r="G30" s="25"/>
      <c r="H30" s="20" t="str">
        <f aca="false">IF(OR($E30="",$F30=""),"",ABS($E30-$F30))</f>
        <v/>
      </c>
      <c r="I30" s="21" t="str">
        <f aca="false">IF(OR($E30="",$F30="",$G30="",$H30=0),"",(($G30-$E30)*IF($D30="LONG",1,-1))/$H30)</f>
        <v/>
      </c>
      <c r="J30" s="22" t="str">
        <f aca="false">IF($I30="","",IF($I30&gt;0,"WIN",IF($I30&lt;0,"LOSS","BE")))</f>
        <v/>
      </c>
      <c r="K30" s="24"/>
      <c r="L30" s="26"/>
    </row>
    <row r="31" customFormat="false" ht="15" hidden="false" customHeight="true" outlineLevel="0" collapsed="false">
      <c r="A31" s="18"/>
      <c r="B31" s="18"/>
      <c r="C31" s="18"/>
      <c r="D31" s="18"/>
      <c r="E31" s="19"/>
      <c r="F31" s="19"/>
      <c r="G31" s="19"/>
      <c r="H31" s="20" t="str">
        <f aca="false">IF(OR($E31="",$F31=""),"",ABS($E31-$F31))</f>
        <v/>
      </c>
      <c r="I31" s="21" t="str">
        <f aca="false">IF(OR($E31="",$F31="",$G31="",$H31=0),"",(($G31-$E31)*IF($D31="LONG",1,-1))/$H31)</f>
        <v/>
      </c>
      <c r="J31" s="22" t="str">
        <f aca="false">IF($I31="","",IF($I31&gt;0,"WIN",IF($I31&lt;0,"LOSS","BE")))</f>
        <v/>
      </c>
      <c r="K31" s="18"/>
      <c r="L31" s="23"/>
    </row>
    <row r="32" customFormat="false" ht="15" hidden="false" customHeight="true" outlineLevel="0" collapsed="false">
      <c r="A32" s="24"/>
      <c r="B32" s="24"/>
      <c r="C32" s="24"/>
      <c r="D32" s="24"/>
      <c r="E32" s="25"/>
      <c r="F32" s="25"/>
      <c r="G32" s="25"/>
      <c r="H32" s="20" t="str">
        <f aca="false">IF(OR($E32="",$F32=""),"",ABS($E32-$F32))</f>
        <v/>
      </c>
      <c r="I32" s="21" t="str">
        <f aca="false">IF(OR($E32="",$F32="",$G32="",$H32=0),"",(($G32-$E32)*IF($D32="LONG",1,-1))/$H32)</f>
        <v/>
      </c>
      <c r="J32" s="22" t="str">
        <f aca="false">IF($I32="","",IF($I32&gt;0,"WIN",IF($I32&lt;0,"LOSS","BE")))</f>
        <v/>
      </c>
      <c r="K32" s="24"/>
      <c r="L32" s="26"/>
    </row>
    <row r="33" customFormat="false" ht="15" hidden="false" customHeight="true" outlineLevel="0" collapsed="false">
      <c r="A33" s="18"/>
      <c r="B33" s="18"/>
      <c r="C33" s="18"/>
      <c r="D33" s="18"/>
      <c r="E33" s="19"/>
      <c r="F33" s="19"/>
      <c r="G33" s="19"/>
      <c r="H33" s="20" t="str">
        <f aca="false">IF(OR($E33="",$F33=""),"",ABS($E33-$F33))</f>
        <v/>
      </c>
      <c r="I33" s="21" t="str">
        <f aca="false">IF(OR($E33="",$F33="",$G33="",$H33=0),"",(($G33-$E33)*IF($D33="LONG",1,-1))/$H33)</f>
        <v/>
      </c>
      <c r="J33" s="22" t="str">
        <f aca="false">IF($I33="","",IF($I33&gt;0,"WIN",IF($I33&lt;0,"LOSS","BE")))</f>
        <v/>
      </c>
      <c r="K33" s="18"/>
      <c r="L33" s="23"/>
    </row>
    <row r="34" customFormat="false" ht="15" hidden="false" customHeight="true" outlineLevel="0" collapsed="false">
      <c r="A34" s="24"/>
      <c r="B34" s="24"/>
      <c r="C34" s="24"/>
      <c r="D34" s="24"/>
      <c r="E34" s="25"/>
      <c r="F34" s="25"/>
      <c r="G34" s="25"/>
      <c r="H34" s="20" t="str">
        <f aca="false">IF(OR($E34="",$F34=""),"",ABS($E34-$F34))</f>
        <v/>
      </c>
      <c r="I34" s="21" t="str">
        <f aca="false">IF(OR($E34="",$F34="",$G34="",$H34=0),"",(($G34-$E34)*IF($D34="LONG",1,-1))/$H34)</f>
        <v/>
      </c>
      <c r="J34" s="22" t="str">
        <f aca="false">IF($I34="","",IF($I34&gt;0,"WIN",IF($I34&lt;0,"LOSS","BE")))</f>
        <v/>
      </c>
      <c r="K34" s="24"/>
      <c r="L34" s="26"/>
    </row>
    <row r="35" customFormat="false" ht="15" hidden="false" customHeight="true" outlineLevel="0" collapsed="false">
      <c r="A35" s="18"/>
      <c r="B35" s="18"/>
      <c r="C35" s="18"/>
      <c r="D35" s="18"/>
      <c r="E35" s="19"/>
      <c r="F35" s="19"/>
      <c r="G35" s="19"/>
      <c r="H35" s="20" t="str">
        <f aca="false">IF(OR($E35="",$F35=""),"",ABS($E35-$F35))</f>
        <v/>
      </c>
      <c r="I35" s="21" t="str">
        <f aca="false">IF(OR($E35="",$F35="",$G35="",$H35=0),"",(($G35-$E35)*IF($D35="LONG",1,-1))/$H35)</f>
        <v/>
      </c>
      <c r="J35" s="22" t="str">
        <f aca="false">IF($I35="","",IF($I35&gt;0,"WIN",IF($I35&lt;0,"LOSS","BE")))</f>
        <v/>
      </c>
      <c r="K35" s="18"/>
      <c r="L35" s="23"/>
    </row>
    <row r="36" customFormat="false" ht="15" hidden="false" customHeight="true" outlineLevel="0" collapsed="false">
      <c r="A36" s="24"/>
      <c r="B36" s="24"/>
      <c r="C36" s="24"/>
      <c r="D36" s="24"/>
      <c r="E36" s="25"/>
      <c r="F36" s="25"/>
      <c r="G36" s="25"/>
      <c r="H36" s="20" t="str">
        <f aca="false">IF(OR($E36="",$F36=""),"",ABS($E36-$F36))</f>
        <v/>
      </c>
      <c r="I36" s="21" t="str">
        <f aca="false">IF(OR($E36="",$F36="",$G36="",$H36=0),"",(($G36-$E36)*IF($D36="LONG",1,-1))/$H36)</f>
        <v/>
      </c>
      <c r="J36" s="22" t="str">
        <f aca="false">IF($I36="","",IF($I36&gt;0,"WIN",IF($I36&lt;0,"LOSS","BE")))</f>
        <v/>
      </c>
      <c r="K36" s="24"/>
      <c r="L36" s="26"/>
    </row>
    <row r="37" customFormat="false" ht="15" hidden="false" customHeight="true" outlineLevel="0" collapsed="false">
      <c r="A37" s="18"/>
      <c r="B37" s="18"/>
      <c r="C37" s="18"/>
      <c r="D37" s="18"/>
      <c r="E37" s="19"/>
      <c r="F37" s="19"/>
      <c r="G37" s="19"/>
      <c r="H37" s="20" t="str">
        <f aca="false">IF(OR($E37="",$F37=""),"",ABS($E37-$F37))</f>
        <v/>
      </c>
      <c r="I37" s="21" t="str">
        <f aca="false">IF(OR($E37="",$F37="",$G37="",$H37=0),"",(($G37-$E37)*IF($D37="LONG",1,-1))/$H37)</f>
        <v/>
      </c>
      <c r="J37" s="22" t="str">
        <f aca="false">IF($I37="","",IF($I37&gt;0,"WIN",IF($I37&lt;0,"LOSS","BE")))</f>
        <v/>
      </c>
      <c r="K37" s="18"/>
      <c r="L37" s="23"/>
    </row>
    <row r="38" customFormat="false" ht="15" hidden="false" customHeight="true" outlineLevel="0" collapsed="false">
      <c r="A38" s="24"/>
      <c r="B38" s="24"/>
      <c r="C38" s="24"/>
      <c r="D38" s="24"/>
      <c r="E38" s="25"/>
      <c r="F38" s="25"/>
      <c r="G38" s="25"/>
      <c r="H38" s="20" t="str">
        <f aca="false">IF(OR($E38="",$F38=""),"",ABS($E38-$F38))</f>
        <v/>
      </c>
      <c r="I38" s="21" t="str">
        <f aca="false">IF(OR($E38="",$F38="",$G38="",$H38=0),"",(($G38-$E38)*IF($D38="LONG",1,-1))/$H38)</f>
        <v/>
      </c>
      <c r="J38" s="22" t="str">
        <f aca="false">IF($I38="","",IF($I38&gt;0,"WIN",IF($I38&lt;0,"LOSS","BE")))</f>
        <v/>
      </c>
      <c r="K38" s="24"/>
      <c r="L38" s="26"/>
    </row>
    <row r="39" customFormat="false" ht="15" hidden="false" customHeight="true" outlineLevel="0" collapsed="false">
      <c r="A39" s="18"/>
      <c r="B39" s="18"/>
      <c r="C39" s="18"/>
      <c r="D39" s="18"/>
      <c r="E39" s="19"/>
      <c r="F39" s="19"/>
      <c r="G39" s="19"/>
      <c r="H39" s="20" t="str">
        <f aca="false">IF(OR($E39="",$F39=""),"",ABS($E39-$F39))</f>
        <v/>
      </c>
      <c r="I39" s="21" t="str">
        <f aca="false">IF(OR($E39="",$F39="",$G39="",$H39=0),"",(($G39-$E39)*IF($D39="LONG",1,-1))/$H39)</f>
        <v/>
      </c>
      <c r="J39" s="22" t="str">
        <f aca="false">IF($I39="","",IF($I39&gt;0,"WIN",IF($I39&lt;0,"LOSS","BE")))</f>
        <v/>
      </c>
      <c r="K39" s="18"/>
      <c r="L39" s="23"/>
    </row>
    <row r="40" customFormat="false" ht="15" hidden="false" customHeight="true" outlineLevel="0" collapsed="false">
      <c r="A40" s="24"/>
      <c r="B40" s="24"/>
      <c r="C40" s="24"/>
      <c r="D40" s="24"/>
      <c r="E40" s="25"/>
      <c r="F40" s="25"/>
      <c r="G40" s="25"/>
      <c r="H40" s="20" t="str">
        <f aca="false">IF(OR($E40="",$F40=""),"",ABS($E40-$F40))</f>
        <v/>
      </c>
      <c r="I40" s="21" t="str">
        <f aca="false">IF(OR($E40="",$F40="",$G40="",$H40=0),"",(($G40-$E40)*IF($D40="LONG",1,-1))/$H40)</f>
        <v/>
      </c>
      <c r="J40" s="22" t="str">
        <f aca="false">IF($I40="","",IF($I40&gt;0,"WIN",IF($I40&lt;0,"LOSS","BE")))</f>
        <v/>
      </c>
      <c r="K40" s="24"/>
      <c r="L40" s="26"/>
    </row>
    <row r="41" customFormat="false" ht="15" hidden="false" customHeight="true" outlineLevel="0" collapsed="false">
      <c r="A41" s="18"/>
      <c r="B41" s="18"/>
      <c r="C41" s="18"/>
      <c r="D41" s="18"/>
      <c r="E41" s="19"/>
      <c r="F41" s="19"/>
      <c r="G41" s="19"/>
      <c r="H41" s="20" t="str">
        <f aca="false">IF(OR($E41="",$F41=""),"",ABS($E41-$F41))</f>
        <v/>
      </c>
      <c r="I41" s="21" t="str">
        <f aca="false">IF(OR($E41="",$F41="",$G41="",$H41=0),"",(($G41-$E41)*IF($D41="LONG",1,-1))/$H41)</f>
        <v/>
      </c>
      <c r="J41" s="22" t="str">
        <f aca="false">IF($I41="","",IF($I41&gt;0,"WIN",IF($I41&lt;0,"LOSS","BE")))</f>
        <v/>
      </c>
      <c r="K41" s="18"/>
      <c r="L41" s="23"/>
    </row>
    <row r="42" customFormat="false" ht="15" hidden="false" customHeight="true" outlineLevel="0" collapsed="false">
      <c r="A42" s="24"/>
      <c r="B42" s="24"/>
      <c r="C42" s="24"/>
      <c r="D42" s="24"/>
      <c r="E42" s="25"/>
      <c r="F42" s="25"/>
      <c r="G42" s="25"/>
      <c r="H42" s="20" t="str">
        <f aca="false">IF(OR($E42="",$F42=""),"",ABS($E42-$F42))</f>
        <v/>
      </c>
      <c r="I42" s="21" t="str">
        <f aca="false">IF(OR($E42="",$F42="",$G42="",$H42=0),"",(($G42-$E42)*IF($D42="LONG",1,-1))/$H42)</f>
        <v/>
      </c>
      <c r="J42" s="22" t="str">
        <f aca="false">IF($I42="","",IF($I42&gt;0,"WIN",IF($I42&lt;0,"LOSS","BE")))</f>
        <v/>
      </c>
      <c r="K42" s="24"/>
      <c r="L42" s="26"/>
    </row>
    <row r="43" customFormat="false" ht="15" hidden="false" customHeight="true" outlineLevel="0" collapsed="false">
      <c r="A43" s="18"/>
      <c r="B43" s="18"/>
      <c r="C43" s="18"/>
      <c r="D43" s="18"/>
      <c r="E43" s="19"/>
      <c r="F43" s="19"/>
      <c r="G43" s="19"/>
      <c r="H43" s="20" t="str">
        <f aca="false">IF(OR($E43="",$F43=""),"",ABS($E43-$F43))</f>
        <v/>
      </c>
      <c r="I43" s="21" t="str">
        <f aca="false">IF(OR($E43="",$F43="",$G43="",$H43=0),"",(($G43-$E43)*IF($D43="LONG",1,-1))/$H43)</f>
        <v/>
      </c>
      <c r="J43" s="22" t="str">
        <f aca="false">IF($I43="","",IF($I43&gt;0,"WIN",IF($I43&lt;0,"LOSS","BE")))</f>
        <v/>
      </c>
      <c r="K43" s="18"/>
      <c r="L43" s="23"/>
    </row>
    <row r="44" customFormat="false" ht="15" hidden="false" customHeight="true" outlineLevel="0" collapsed="false">
      <c r="A44" s="24"/>
      <c r="B44" s="24"/>
      <c r="C44" s="24"/>
      <c r="D44" s="24"/>
      <c r="E44" s="25"/>
      <c r="F44" s="25"/>
      <c r="G44" s="25"/>
      <c r="H44" s="20" t="str">
        <f aca="false">IF(OR($E44="",$F44=""),"",ABS($E44-$F44))</f>
        <v/>
      </c>
      <c r="I44" s="21" t="str">
        <f aca="false">IF(OR($E44="",$F44="",$G44="",$H44=0),"",(($G44-$E44)*IF($D44="LONG",1,-1))/$H44)</f>
        <v/>
      </c>
      <c r="J44" s="22" t="str">
        <f aca="false">IF($I44="","",IF($I44&gt;0,"WIN",IF($I44&lt;0,"LOSS","BE")))</f>
        <v/>
      </c>
      <c r="K44" s="24"/>
      <c r="L44" s="26"/>
    </row>
    <row r="45" customFormat="false" ht="15" hidden="false" customHeight="true" outlineLevel="0" collapsed="false">
      <c r="A45" s="18"/>
      <c r="B45" s="18"/>
      <c r="C45" s="18"/>
      <c r="D45" s="18"/>
      <c r="E45" s="19"/>
      <c r="F45" s="19"/>
      <c r="G45" s="19"/>
      <c r="H45" s="20" t="str">
        <f aca="false">IF(OR($E45="",$F45=""),"",ABS($E45-$F45))</f>
        <v/>
      </c>
      <c r="I45" s="21" t="str">
        <f aca="false">IF(OR($E45="",$F45="",$G45="",$H45=0),"",(($G45-$E45)*IF($D45="LONG",1,-1))/$H45)</f>
        <v/>
      </c>
      <c r="J45" s="22" t="str">
        <f aca="false">IF($I45="","",IF($I45&gt;0,"WIN",IF($I45&lt;0,"LOSS","BE")))</f>
        <v/>
      </c>
      <c r="K45" s="18"/>
      <c r="L45" s="23"/>
    </row>
    <row r="46" customFormat="false" ht="15" hidden="false" customHeight="true" outlineLevel="0" collapsed="false">
      <c r="A46" s="24"/>
      <c r="B46" s="24"/>
      <c r="C46" s="24"/>
      <c r="D46" s="24"/>
      <c r="E46" s="25"/>
      <c r="F46" s="25"/>
      <c r="G46" s="25"/>
      <c r="H46" s="20" t="str">
        <f aca="false">IF(OR($E46="",$F46=""),"",ABS($E46-$F46))</f>
        <v/>
      </c>
      <c r="I46" s="21" t="str">
        <f aca="false">IF(OR($E46="",$F46="",$G46="",$H46=0),"",(($G46-$E46)*IF($D46="LONG",1,-1))/$H46)</f>
        <v/>
      </c>
      <c r="J46" s="22" t="str">
        <f aca="false">IF($I46="","",IF($I46&gt;0,"WIN",IF($I46&lt;0,"LOSS","BE")))</f>
        <v/>
      </c>
      <c r="K46" s="24"/>
      <c r="L46" s="26"/>
    </row>
    <row r="47" customFormat="false" ht="15" hidden="false" customHeight="true" outlineLevel="0" collapsed="false">
      <c r="A47" s="18"/>
      <c r="B47" s="18"/>
      <c r="C47" s="18"/>
      <c r="D47" s="18"/>
      <c r="E47" s="19"/>
      <c r="F47" s="19"/>
      <c r="G47" s="19"/>
      <c r="H47" s="20" t="str">
        <f aca="false">IF(OR($E47="",$F47=""),"",ABS($E47-$F47))</f>
        <v/>
      </c>
      <c r="I47" s="21" t="str">
        <f aca="false">IF(OR($E47="",$F47="",$G47="",$H47=0),"",(($G47-$E47)*IF($D47="LONG",1,-1))/$H47)</f>
        <v/>
      </c>
      <c r="J47" s="22" t="str">
        <f aca="false">IF($I47="","",IF($I47&gt;0,"WIN",IF($I47&lt;0,"LOSS","BE")))</f>
        <v/>
      </c>
      <c r="K47" s="18"/>
      <c r="L47" s="23"/>
    </row>
    <row r="48" customFormat="false" ht="15" hidden="false" customHeight="true" outlineLevel="0" collapsed="false">
      <c r="A48" s="24"/>
      <c r="B48" s="24"/>
      <c r="C48" s="24"/>
      <c r="D48" s="24"/>
      <c r="E48" s="25"/>
      <c r="F48" s="25"/>
      <c r="G48" s="25"/>
      <c r="H48" s="20" t="str">
        <f aca="false">IF(OR($E48="",$F48=""),"",ABS($E48-$F48))</f>
        <v/>
      </c>
      <c r="I48" s="21" t="str">
        <f aca="false">IF(OR($E48="",$F48="",$G48="",$H48=0),"",(($G48-$E48)*IF($D48="LONG",1,-1))/$H48)</f>
        <v/>
      </c>
      <c r="J48" s="22" t="str">
        <f aca="false">IF($I48="","",IF($I48&gt;0,"WIN",IF($I48&lt;0,"LOSS","BE")))</f>
        <v/>
      </c>
      <c r="K48" s="24"/>
      <c r="L48" s="26"/>
    </row>
    <row r="49" customFormat="false" ht="15" hidden="false" customHeight="true" outlineLevel="0" collapsed="false">
      <c r="A49" s="18"/>
      <c r="B49" s="18"/>
      <c r="C49" s="18"/>
      <c r="D49" s="18"/>
      <c r="E49" s="19"/>
      <c r="F49" s="19"/>
      <c r="G49" s="19"/>
      <c r="H49" s="20" t="str">
        <f aca="false">IF(OR($E49="",$F49=""),"",ABS($E49-$F49))</f>
        <v/>
      </c>
      <c r="I49" s="21" t="str">
        <f aca="false">IF(OR($E49="",$F49="",$G49="",$H49=0),"",(($G49-$E49)*IF($D49="LONG",1,-1))/$H49)</f>
        <v/>
      </c>
      <c r="J49" s="22" t="str">
        <f aca="false">IF($I49="","",IF($I49&gt;0,"WIN",IF($I49&lt;0,"LOSS","BE")))</f>
        <v/>
      </c>
      <c r="K49" s="18"/>
      <c r="L49" s="23"/>
    </row>
    <row r="50" customFormat="false" ht="15" hidden="false" customHeight="true" outlineLevel="0" collapsed="false">
      <c r="A50" s="24"/>
      <c r="B50" s="24"/>
      <c r="C50" s="24"/>
      <c r="D50" s="24"/>
      <c r="E50" s="25"/>
      <c r="F50" s="25"/>
      <c r="G50" s="25"/>
      <c r="H50" s="20" t="str">
        <f aca="false">IF(OR($E50="",$F50=""),"",ABS($E50-$F50))</f>
        <v/>
      </c>
      <c r="I50" s="21" t="str">
        <f aca="false">IF(OR($E50="",$F50="",$G50="",$H50=0),"",(($G50-$E50)*IF($D50="LONG",1,-1))/$H50)</f>
        <v/>
      </c>
      <c r="J50" s="22" t="str">
        <f aca="false">IF($I50="","",IF($I50&gt;0,"WIN",IF($I50&lt;0,"LOSS","BE")))</f>
        <v/>
      </c>
      <c r="K50" s="24"/>
      <c r="L50" s="26"/>
    </row>
    <row r="51" customFormat="false" ht="15" hidden="false" customHeight="true" outlineLevel="0" collapsed="false">
      <c r="A51" s="18"/>
      <c r="B51" s="18"/>
      <c r="C51" s="18"/>
      <c r="D51" s="18"/>
      <c r="E51" s="19"/>
      <c r="F51" s="19"/>
      <c r="G51" s="19"/>
      <c r="H51" s="20" t="str">
        <f aca="false">IF(OR($E51="",$F51=""),"",ABS($E51-$F51))</f>
        <v/>
      </c>
      <c r="I51" s="21" t="str">
        <f aca="false">IF(OR($E51="",$F51="",$G51="",$H51=0),"",(($G51-$E51)*IF($D51="LONG",1,-1))/$H51)</f>
        <v/>
      </c>
      <c r="J51" s="22" t="str">
        <f aca="false">IF($I51="","",IF($I51&gt;0,"WIN",IF($I51&lt;0,"LOSS","BE")))</f>
        <v/>
      </c>
      <c r="K51" s="18"/>
      <c r="L51" s="23"/>
    </row>
    <row r="52" customFormat="false" ht="15" hidden="false" customHeight="true" outlineLevel="0" collapsed="false">
      <c r="A52" s="24"/>
      <c r="B52" s="24"/>
      <c r="C52" s="24"/>
      <c r="D52" s="24"/>
      <c r="E52" s="25"/>
      <c r="F52" s="25"/>
      <c r="G52" s="25"/>
      <c r="H52" s="20" t="str">
        <f aca="false">IF(OR($E52="",$F52=""),"",ABS($E52-$F52))</f>
        <v/>
      </c>
      <c r="I52" s="21" t="str">
        <f aca="false">IF(OR($E52="",$F52="",$G52="",$H52=0),"",(($G52-$E52)*IF($D52="LONG",1,-1))/$H52)</f>
        <v/>
      </c>
      <c r="J52" s="22" t="str">
        <f aca="false">IF($I52="","",IF($I52&gt;0,"WIN",IF($I52&lt;0,"LOSS","BE")))</f>
        <v/>
      </c>
      <c r="K52" s="24"/>
      <c r="L52" s="26"/>
    </row>
    <row r="53" customFormat="false" ht="15" hidden="false" customHeight="true" outlineLevel="0" collapsed="false">
      <c r="A53" s="18"/>
      <c r="B53" s="18"/>
      <c r="C53" s="18"/>
      <c r="D53" s="18"/>
      <c r="E53" s="19"/>
      <c r="F53" s="19"/>
      <c r="G53" s="19"/>
      <c r="H53" s="20" t="str">
        <f aca="false">IF(OR($E53="",$F53=""),"",ABS($E53-$F53))</f>
        <v/>
      </c>
      <c r="I53" s="21" t="str">
        <f aca="false">IF(OR($E53="",$F53="",$G53="",$H53=0),"",(($G53-$E53)*IF($D53="LONG",1,-1))/$H53)</f>
        <v/>
      </c>
      <c r="J53" s="22" t="str">
        <f aca="false">IF($I53="","",IF($I53&gt;0,"WIN",IF($I53&lt;0,"LOSS","BE")))</f>
        <v/>
      </c>
      <c r="K53" s="18"/>
      <c r="L53" s="23"/>
    </row>
    <row r="54" customFormat="false" ht="15" hidden="false" customHeight="true" outlineLevel="0" collapsed="false">
      <c r="A54" s="24"/>
      <c r="B54" s="24"/>
      <c r="C54" s="24"/>
      <c r="D54" s="24"/>
      <c r="E54" s="25"/>
      <c r="F54" s="25"/>
      <c r="G54" s="25"/>
      <c r="H54" s="20" t="str">
        <f aca="false">IF(OR($E54="",$F54=""),"",ABS($E54-$F54))</f>
        <v/>
      </c>
      <c r="I54" s="21" t="str">
        <f aca="false">IF(OR($E54="",$F54="",$G54="",$H54=0),"",(($G54-$E54)*IF($D54="LONG",1,-1))/$H54)</f>
        <v/>
      </c>
      <c r="J54" s="22" t="str">
        <f aca="false">IF($I54="","",IF($I54&gt;0,"WIN",IF($I54&lt;0,"LOSS","BE")))</f>
        <v/>
      </c>
      <c r="K54" s="24"/>
      <c r="L54" s="26"/>
    </row>
    <row r="55" customFormat="false" ht="15" hidden="false" customHeight="true" outlineLevel="0" collapsed="false">
      <c r="A55" s="18"/>
      <c r="B55" s="18"/>
      <c r="C55" s="18"/>
      <c r="D55" s="18"/>
      <c r="E55" s="19"/>
      <c r="F55" s="19"/>
      <c r="G55" s="19"/>
      <c r="H55" s="20" t="str">
        <f aca="false">IF(OR($E55="",$F55=""),"",ABS($E55-$F55))</f>
        <v/>
      </c>
      <c r="I55" s="21" t="str">
        <f aca="false">IF(OR($E55="",$F55="",$G55="",$H55=0),"",(($G55-$E55)*IF($D55="LONG",1,-1))/$H55)</f>
        <v/>
      </c>
      <c r="J55" s="22" t="str">
        <f aca="false">IF($I55="","",IF($I55&gt;0,"WIN",IF($I55&lt;0,"LOSS","BE")))</f>
        <v/>
      </c>
      <c r="K55" s="18"/>
      <c r="L55" s="23"/>
    </row>
    <row r="56" customFormat="false" ht="15" hidden="false" customHeight="true" outlineLevel="0" collapsed="false">
      <c r="A56" s="24"/>
      <c r="B56" s="24"/>
      <c r="C56" s="24"/>
      <c r="D56" s="24"/>
      <c r="E56" s="25"/>
      <c r="F56" s="25"/>
      <c r="G56" s="25"/>
      <c r="H56" s="20" t="str">
        <f aca="false">IF(OR($E56="",$F56=""),"",ABS($E56-$F56))</f>
        <v/>
      </c>
      <c r="I56" s="21" t="str">
        <f aca="false">IF(OR($E56="",$F56="",$G56="",$H56=0),"",(($G56-$E56)*IF($D56="LONG",1,-1))/$H56)</f>
        <v/>
      </c>
      <c r="J56" s="22" t="str">
        <f aca="false">IF($I56="","",IF($I56&gt;0,"WIN",IF($I56&lt;0,"LOSS","BE")))</f>
        <v/>
      </c>
      <c r="K56" s="24"/>
      <c r="L56" s="26"/>
    </row>
    <row r="57" customFormat="false" ht="15" hidden="false" customHeight="true" outlineLevel="0" collapsed="false">
      <c r="A57" s="18"/>
      <c r="B57" s="18"/>
      <c r="C57" s="18"/>
      <c r="D57" s="18"/>
      <c r="E57" s="19"/>
      <c r="F57" s="19"/>
      <c r="G57" s="19"/>
      <c r="H57" s="20" t="str">
        <f aca="false">IF(OR($E57="",$F57=""),"",ABS($E57-$F57))</f>
        <v/>
      </c>
      <c r="I57" s="21" t="str">
        <f aca="false">IF(OR($E57="",$F57="",$G57="",$H57=0),"",(($G57-$E57)*IF($D57="LONG",1,-1))/$H57)</f>
        <v/>
      </c>
      <c r="J57" s="22" t="str">
        <f aca="false">IF($I57="","",IF($I57&gt;0,"WIN",IF($I57&lt;0,"LOSS","BE")))</f>
        <v/>
      </c>
      <c r="K57" s="18"/>
      <c r="L57" s="23"/>
    </row>
    <row r="58" customFormat="false" ht="15" hidden="false" customHeight="true" outlineLevel="0" collapsed="false">
      <c r="A58" s="24"/>
      <c r="B58" s="24"/>
      <c r="C58" s="24"/>
      <c r="D58" s="24"/>
      <c r="E58" s="25"/>
      <c r="F58" s="25"/>
      <c r="G58" s="25"/>
      <c r="H58" s="20" t="str">
        <f aca="false">IF(OR($E58="",$F58=""),"",ABS($E58-$F58))</f>
        <v/>
      </c>
      <c r="I58" s="21" t="str">
        <f aca="false">IF(OR($E58="",$F58="",$G58="",$H58=0),"",(($G58-$E58)*IF($D58="LONG",1,-1))/$H58)</f>
        <v/>
      </c>
      <c r="J58" s="22" t="str">
        <f aca="false">IF($I58="","",IF($I58&gt;0,"WIN",IF($I58&lt;0,"LOSS","BE")))</f>
        <v/>
      </c>
      <c r="K58" s="24"/>
      <c r="L58" s="26"/>
    </row>
    <row r="59" customFormat="false" ht="15" hidden="false" customHeight="true" outlineLevel="0" collapsed="false">
      <c r="A59" s="18"/>
      <c r="B59" s="18"/>
      <c r="C59" s="18"/>
      <c r="D59" s="18"/>
      <c r="E59" s="19"/>
      <c r="F59" s="19"/>
      <c r="G59" s="19"/>
      <c r="H59" s="20" t="str">
        <f aca="false">IF(OR($E59="",$F59=""),"",ABS($E59-$F59))</f>
        <v/>
      </c>
      <c r="I59" s="21" t="str">
        <f aca="false">IF(OR($E59="",$F59="",$G59="",$H59=0),"",(($G59-$E59)*IF($D59="LONG",1,-1))/$H59)</f>
        <v/>
      </c>
      <c r="J59" s="22" t="str">
        <f aca="false">IF($I59="","",IF($I59&gt;0,"WIN",IF($I59&lt;0,"LOSS","BE")))</f>
        <v/>
      </c>
      <c r="K59" s="18"/>
      <c r="L59" s="23"/>
    </row>
    <row r="60" customFormat="false" ht="15" hidden="false" customHeight="true" outlineLevel="0" collapsed="false">
      <c r="A60" s="24"/>
      <c r="B60" s="24"/>
      <c r="C60" s="24"/>
      <c r="D60" s="24"/>
      <c r="E60" s="25"/>
      <c r="F60" s="25"/>
      <c r="G60" s="25"/>
      <c r="H60" s="20" t="str">
        <f aca="false">IF(OR($E60="",$F60=""),"",ABS($E60-$F60))</f>
        <v/>
      </c>
      <c r="I60" s="21" t="str">
        <f aca="false">IF(OR($E60="",$F60="",$G60="",$H60=0),"",(($G60-$E60)*IF($D60="LONG",1,-1))/$H60)</f>
        <v/>
      </c>
      <c r="J60" s="22" t="str">
        <f aca="false">IF($I60="","",IF($I60&gt;0,"WIN",IF($I60&lt;0,"LOSS","BE")))</f>
        <v/>
      </c>
      <c r="K60" s="24"/>
      <c r="L60" s="26"/>
    </row>
    <row r="61" customFormat="false" ht="15" hidden="false" customHeight="true" outlineLevel="0" collapsed="false">
      <c r="A61" s="18"/>
      <c r="B61" s="18"/>
      <c r="C61" s="18"/>
      <c r="D61" s="18"/>
      <c r="E61" s="19"/>
      <c r="F61" s="19"/>
      <c r="G61" s="19"/>
      <c r="H61" s="20" t="str">
        <f aca="false">IF(OR($E61="",$F61=""),"",ABS($E61-$F61))</f>
        <v/>
      </c>
      <c r="I61" s="21" t="str">
        <f aca="false">IF(OR($E61="",$F61="",$G61="",$H61=0),"",(($G61-$E61)*IF($D61="LONG",1,-1))/$H61)</f>
        <v/>
      </c>
      <c r="J61" s="22" t="str">
        <f aca="false">IF($I61="","",IF($I61&gt;0,"WIN",IF($I61&lt;0,"LOSS","BE")))</f>
        <v/>
      </c>
      <c r="K61" s="18"/>
      <c r="L61" s="23"/>
    </row>
    <row r="62" customFormat="false" ht="15" hidden="false" customHeight="true" outlineLevel="0" collapsed="false">
      <c r="A62" s="24"/>
      <c r="B62" s="24"/>
      <c r="C62" s="24"/>
      <c r="D62" s="24"/>
      <c r="E62" s="25"/>
      <c r="F62" s="25"/>
      <c r="G62" s="25"/>
      <c r="H62" s="20" t="str">
        <f aca="false">IF(OR($E62="",$F62=""),"",ABS($E62-$F62))</f>
        <v/>
      </c>
      <c r="I62" s="21" t="str">
        <f aca="false">IF(OR($E62="",$F62="",$G62="",$H62=0),"",(($G62-$E62)*IF($D62="LONG",1,-1))/$H62)</f>
        <v/>
      </c>
      <c r="J62" s="22" t="str">
        <f aca="false">IF($I62="","",IF($I62&gt;0,"WIN",IF($I62&lt;0,"LOSS","BE")))</f>
        <v/>
      </c>
      <c r="K62" s="24"/>
      <c r="L62" s="26"/>
    </row>
    <row r="63" customFormat="false" ht="15" hidden="false" customHeight="true" outlineLevel="0" collapsed="false">
      <c r="A63" s="18"/>
      <c r="B63" s="18"/>
      <c r="C63" s="18"/>
      <c r="D63" s="18"/>
      <c r="E63" s="19"/>
      <c r="F63" s="19"/>
      <c r="G63" s="19"/>
      <c r="H63" s="20" t="str">
        <f aca="false">IF(OR($E63="",$F63=""),"",ABS($E63-$F63))</f>
        <v/>
      </c>
      <c r="I63" s="21" t="str">
        <f aca="false">IF(OR($E63="",$F63="",$G63="",$H63=0),"",(($G63-$E63)*IF($D63="LONG",1,-1))/$H63)</f>
        <v/>
      </c>
      <c r="J63" s="22" t="str">
        <f aca="false">IF($I63="","",IF($I63&gt;0,"WIN",IF($I63&lt;0,"LOSS","BE")))</f>
        <v/>
      </c>
      <c r="K63" s="18"/>
      <c r="L63" s="23"/>
    </row>
    <row r="64" customFormat="false" ht="15" hidden="false" customHeight="true" outlineLevel="0" collapsed="false">
      <c r="A64" s="24"/>
      <c r="B64" s="24"/>
      <c r="C64" s="24"/>
      <c r="D64" s="24"/>
      <c r="E64" s="25"/>
      <c r="F64" s="25"/>
      <c r="G64" s="25"/>
      <c r="H64" s="20" t="str">
        <f aca="false">IF(OR($E64="",$F64=""),"",ABS($E64-$F64))</f>
        <v/>
      </c>
      <c r="I64" s="21" t="str">
        <f aca="false">IF(OR($E64="",$F64="",$G64="",$H64=0),"",(($G64-$E64)*IF($D64="LONG",1,-1))/$H64)</f>
        <v/>
      </c>
      <c r="J64" s="22" t="str">
        <f aca="false">IF($I64="","",IF($I64&gt;0,"WIN",IF($I64&lt;0,"LOSS","BE")))</f>
        <v/>
      </c>
      <c r="K64" s="24"/>
      <c r="L64" s="26"/>
    </row>
    <row r="65" customFormat="false" ht="15" hidden="false" customHeight="true" outlineLevel="0" collapsed="false">
      <c r="A65" s="18"/>
      <c r="B65" s="18"/>
      <c r="C65" s="18"/>
      <c r="D65" s="18"/>
      <c r="E65" s="19"/>
      <c r="F65" s="19"/>
      <c r="G65" s="19"/>
      <c r="H65" s="20" t="str">
        <f aca="false">IF(OR($E65="",$F65=""),"",ABS($E65-$F65))</f>
        <v/>
      </c>
      <c r="I65" s="21" t="str">
        <f aca="false">IF(OR($E65="",$F65="",$G65="",$H65=0),"",(($G65-$E65)*IF($D65="LONG",1,-1))/$H65)</f>
        <v/>
      </c>
      <c r="J65" s="22" t="str">
        <f aca="false">IF($I65="","",IF($I65&gt;0,"WIN",IF($I65&lt;0,"LOSS","BE")))</f>
        <v/>
      </c>
      <c r="K65" s="18"/>
      <c r="L65" s="23"/>
    </row>
    <row r="66" customFormat="false" ht="15" hidden="false" customHeight="true" outlineLevel="0" collapsed="false">
      <c r="A66" s="24"/>
      <c r="B66" s="24"/>
      <c r="C66" s="24"/>
      <c r="D66" s="24"/>
      <c r="E66" s="25"/>
      <c r="F66" s="25"/>
      <c r="G66" s="25"/>
      <c r="H66" s="20" t="str">
        <f aca="false">IF(OR($E66="",$F66=""),"",ABS($E66-$F66))</f>
        <v/>
      </c>
      <c r="I66" s="21" t="str">
        <f aca="false">IF(OR($E66="",$F66="",$G66="",$H66=0),"",(($G66-$E66)*IF($D66="LONG",1,-1))/$H66)</f>
        <v/>
      </c>
      <c r="J66" s="22" t="str">
        <f aca="false">IF($I66="","",IF($I66&gt;0,"WIN",IF($I66&lt;0,"LOSS","BE")))</f>
        <v/>
      </c>
      <c r="K66" s="24"/>
      <c r="L66" s="26"/>
    </row>
    <row r="67" customFormat="false" ht="15" hidden="false" customHeight="true" outlineLevel="0" collapsed="false">
      <c r="A67" s="18"/>
      <c r="B67" s="18"/>
      <c r="C67" s="18"/>
      <c r="D67" s="18"/>
      <c r="E67" s="19"/>
      <c r="F67" s="19"/>
      <c r="G67" s="19"/>
      <c r="H67" s="20" t="str">
        <f aca="false">IF(OR($E67="",$F67=""),"",ABS($E67-$F67))</f>
        <v/>
      </c>
      <c r="I67" s="21" t="str">
        <f aca="false">IF(OR($E67="",$F67="",$G67="",$H67=0),"",(($G67-$E67)*IF($D67="LONG",1,-1))/$H67)</f>
        <v/>
      </c>
      <c r="J67" s="22" t="str">
        <f aca="false">IF($I67="","",IF($I67&gt;0,"WIN",IF($I67&lt;0,"LOSS","BE")))</f>
        <v/>
      </c>
      <c r="K67" s="18"/>
      <c r="L67" s="23"/>
    </row>
    <row r="68" customFormat="false" ht="15" hidden="false" customHeight="true" outlineLevel="0" collapsed="false">
      <c r="A68" s="24"/>
      <c r="B68" s="24"/>
      <c r="C68" s="24"/>
      <c r="D68" s="24"/>
      <c r="E68" s="25"/>
      <c r="F68" s="25"/>
      <c r="G68" s="25"/>
      <c r="H68" s="20" t="str">
        <f aca="false">IF(OR($E68="",$F68=""),"",ABS($E68-$F68))</f>
        <v/>
      </c>
      <c r="I68" s="21" t="str">
        <f aca="false">IF(OR($E68="",$F68="",$G68="",$H68=0),"",(($G68-$E68)*IF($D68="LONG",1,-1))/$H68)</f>
        <v/>
      </c>
      <c r="J68" s="22" t="str">
        <f aca="false">IF($I68="","",IF($I68&gt;0,"WIN",IF($I68&lt;0,"LOSS","BE")))</f>
        <v/>
      </c>
      <c r="K68" s="24"/>
      <c r="L68" s="26"/>
    </row>
    <row r="69" customFormat="false" ht="15" hidden="false" customHeight="true" outlineLevel="0" collapsed="false">
      <c r="A69" s="18"/>
      <c r="B69" s="18"/>
      <c r="C69" s="18"/>
      <c r="D69" s="18"/>
      <c r="E69" s="19"/>
      <c r="F69" s="19"/>
      <c r="G69" s="19"/>
      <c r="H69" s="20" t="str">
        <f aca="false">IF(OR($E69="",$F69=""),"",ABS($E69-$F69))</f>
        <v/>
      </c>
      <c r="I69" s="21" t="str">
        <f aca="false">IF(OR($E69="",$F69="",$G69="",$H69=0),"",(($G69-$E69)*IF($D69="LONG",1,-1))/$H69)</f>
        <v/>
      </c>
      <c r="J69" s="22" t="str">
        <f aca="false">IF($I69="","",IF($I69&gt;0,"WIN",IF($I69&lt;0,"LOSS","BE")))</f>
        <v/>
      </c>
      <c r="K69" s="18"/>
      <c r="L69" s="23"/>
    </row>
    <row r="70" customFormat="false" ht="15" hidden="false" customHeight="true" outlineLevel="0" collapsed="false">
      <c r="A70" s="24"/>
      <c r="B70" s="24"/>
      <c r="C70" s="24"/>
      <c r="D70" s="24"/>
      <c r="E70" s="25"/>
      <c r="F70" s="25"/>
      <c r="G70" s="25"/>
      <c r="H70" s="20" t="str">
        <f aca="false">IF(OR($E70="",$F70=""),"",ABS($E70-$F70))</f>
        <v/>
      </c>
      <c r="I70" s="21" t="str">
        <f aca="false">IF(OR($E70="",$F70="",$G70="",$H70=0),"",(($G70-$E70)*IF($D70="LONG",1,-1))/$H70)</f>
        <v/>
      </c>
      <c r="J70" s="22" t="str">
        <f aca="false">IF($I70="","",IF($I70&gt;0,"WIN",IF($I70&lt;0,"LOSS","BE")))</f>
        <v/>
      </c>
      <c r="K70" s="24"/>
      <c r="L70" s="26"/>
    </row>
    <row r="71" customFormat="false" ht="15" hidden="false" customHeight="true" outlineLevel="0" collapsed="false">
      <c r="A71" s="18"/>
      <c r="B71" s="18"/>
      <c r="C71" s="18"/>
      <c r="D71" s="18"/>
      <c r="E71" s="19"/>
      <c r="F71" s="19"/>
      <c r="G71" s="19"/>
      <c r="H71" s="20" t="str">
        <f aca="false">IF(OR($E71="",$F71=""),"",ABS($E71-$F71))</f>
        <v/>
      </c>
      <c r="I71" s="21" t="str">
        <f aca="false">IF(OR($E71="",$F71="",$G71="",$H71=0),"",(($G71-$E71)*IF($D71="LONG",1,-1))/$H71)</f>
        <v/>
      </c>
      <c r="J71" s="22" t="str">
        <f aca="false">IF($I71="","",IF($I71&gt;0,"WIN",IF($I71&lt;0,"LOSS","BE")))</f>
        <v/>
      </c>
      <c r="K71" s="18"/>
      <c r="L71" s="23"/>
    </row>
    <row r="72" customFormat="false" ht="15" hidden="false" customHeight="true" outlineLevel="0" collapsed="false">
      <c r="A72" s="24"/>
      <c r="B72" s="24"/>
      <c r="C72" s="24"/>
      <c r="D72" s="24"/>
      <c r="E72" s="25"/>
      <c r="F72" s="25"/>
      <c r="G72" s="25"/>
      <c r="H72" s="20" t="str">
        <f aca="false">IF(OR($E72="",$F72=""),"",ABS($E72-$F72))</f>
        <v/>
      </c>
      <c r="I72" s="21" t="str">
        <f aca="false">IF(OR($E72="",$F72="",$G72="",$H72=0),"",(($G72-$E72)*IF($D72="LONG",1,-1))/$H72)</f>
        <v/>
      </c>
      <c r="J72" s="22" t="str">
        <f aca="false">IF($I72="","",IF($I72&gt;0,"WIN",IF($I72&lt;0,"LOSS","BE")))</f>
        <v/>
      </c>
      <c r="K72" s="24"/>
      <c r="L72" s="26"/>
    </row>
    <row r="73" customFormat="false" ht="15" hidden="false" customHeight="true" outlineLevel="0" collapsed="false">
      <c r="A73" s="18"/>
      <c r="B73" s="18"/>
      <c r="C73" s="18"/>
      <c r="D73" s="18"/>
      <c r="E73" s="19"/>
      <c r="F73" s="19"/>
      <c r="G73" s="19"/>
      <c r="H73" s="20" t="str">
        <f aca="false">IF(OR($E73="",$F73=""),"",ABS($E73-$F73))</f>
        <v/>
      </c>
      <c r="I73" s="21" t="str">
        <f aca="false">IF(OR($E73="",$F73="",$G73="",$H73=0),"",(($G73-$E73)*IF($D73="LONG",1,-1))/$H73)</f>
        <v/>
      </c>
      <c r="J73" s="22" t="str">
        <f aca="false">IF($I73="","",IF($I73&gt;0,"WIN",IF($I73&lt;0,"LOSS","BE")))</f>
        <v/>
      </c>
      <c r="K73" s="18"/>
      <c r="L73" s="23"/>
    </row>
    <row r="74" customFormat="false" ht="15" hidden="false" customHeight="true" outlineLevel="0" collapsed="false">
      <c r="A74" s="24"/>
      <c r="B74" s="24"/>
      <c r="C74" s="24"/>
      <c r="D74" s="24"/>
      <c r="E74" s="25"/>
      <c r="F74" s="25"/>
      <c r="G74" s="25"/>
      <c r="H74" s="20" t="str">
        <f aca="false">IF(OR($E74="",$F74=""),"",ABS($E74-$F74))</f>
        <v/>
      </c>
      <c r="I74" s="21" t="str">
        <f aca="false">IF(OR($E74="",$F74="",$G74="",$H74=0),"",(($G74-$E74)*IF($D74="LONG",1,-1))/$H74)</f>
        <v/>
      </c>
      <c r="J74" s="22" t="str">
        <f aca="false">IF($I74="","",IF($I74&gt;0,"WIN",IF($I74&lt;0,"LOSS","BE")))</f>
        <v/>
      </c>
      <c r="K74" s="24"/>
      <c r="L74" s="26"/>
    </row>
    <row r="75" customFormat="false" ht="15" hidden="false" customHeight="true" outlineLevel="0" collapsed="false">
      <c r="A75" s="18"/>
      <c r="B75" s="18"/>
      <c r="C75" s="18"/>
      <c r="D75" s="18"/>
      <c r="E75" s="19"/>
      <c r="F75" s="19"/>
      <c r="G75" s="19"/>
      <c r="H75" s="20" t="str">
        <f aca="false">IF(OR($E75="",$F75=""),"",ABS($E75-$F75))</f>
        <v/>
      </c>
      <c r="I75" s="21" t="str">
        <f aca="false">IF(OR($E75="",$F75="",$G75="",$H75=0),"",(($G75-$E75)*IF($D75="LONG",1,-1))/$H75)</f>
        <v/>
      </c>
      <c r="J75" s="22" t="str">
        <f aca="false">IF($I75="","",IF($I75&gt;0,"WIN",IF($I75&lt;0,"LOSS","BE")))</f>
        <v/>
      </c>
      <c r="K75" s="18"/>
      <c r="L75" s="23"/>
    </row>
    <row r="76" customFormat="false" ht="15" hidden="false" customHeight="true" outlineLevel="0" collapsed="false">
      <c r="A76" s="24"/>
      <c r="B76" s="24"/>
      <c r="C76" s="24"/>
      <c r="D76" s="24"/>
      <c r="E76" s="25"/>
      <c r="F76" s="25"/>
      <c r="G76" s="25"/>
      <c r="H76" s="20" t="str">
        <f aca="false">IF(OR($E76="",$F76=""),"",ABS($E76-$F76))</f>
        <v/>
      </c>
      <c r="I76" s="21" t="str">
        <f aca="false">IF(OR($E76="",$F76="",$G76="",$H76=0),"",(($G76-$E76)*IF($D76="LONG",1,-1))/$H76)</f>
        <v/>
      </c>
      <c r="J76" s="22" t="str">
        <f aca="false">IF($I76="","",IF($I76&gt;0,"WIN",IF($I76&lt;0,"LOSS","BE")))</f>
        <v/>
      </c>
      <c r="K76" s="24"/>
      <c r="L76" s="26"/>
    </row>
    <row r="77" customFormat="false" ht="15" hidden="false" customHeight="true" outlineLevel="0" collapsed="false">
      <c r="A77" s="18"/>
      <c r="B77" s="18"/>
      <c r="C77" s="18"/>
      <c r="D77" s="18"/>
      <c r="E77" s="19"/>
      <c r="F77" s="19"/>
      <c r="G77" s="19"/>
      <c r="H77" s="20" t="str">
        <f aca="false">IF(OR($E77="",$F77=""),"",ABS($E77-$F77))</f>
        <v/>
      </c>
      <c r="I77" s="21" t="str">
        <f aca="false">IF(OR($E77="",$F77="",$G77="",$H77=0),"",(($G77-$E77)*IF($D77="LONG",1,-1))/$H77)</f>
        <v/>
      </c>
      <c r="J77" s="22" t="str">
        <f aca="false">IF($I77="","",IF($I77&gt;0,"WIN",IF($I77&lt;0,"LOSS","BE")))</f>
        <v/>
      </c>
      <c r="K77" s="18"/>
      <c r="L77" s="23"/>
    </row>
    <row r="78" customFormat="false" ht="15" hidden="false" customHeight="true" outlineLevel="0" collapsed="false">
      <c r="A78" s="24"/>
      <c r="B78" s="24"/>
      <c r="C78" s="24"/>
      <c r="D78" s="24"/>
      <c r="E78" s="25"/>
      <c r="F78" s="25"/>
      <c r="G78" s="25"/>
      <c r="H78" s="20" t="str">
        <f aca="false">IF(OR($E78="",$F78=""),"",ABS($E78-$F78))</f>
        <v/>
      </c>
      <c r="I78" s="21" t="str">
        <f aca="false">IF(OR($E78="",$F78="",$G78="",$H78=0),"",(($G78-$E78)*IF($D78="LONG",1,-1))/$H78)</f>
        <v/>
      </c>
      <c r="J78" s="22" t="str">
        <f aca="false">IF($I78="","",IF($I78&gt;0,"WIN",IF($I78&lt;0,"LOSS","BE")))</f>
        <v/>
      </c>
      <c r="K78" s="24"/>
      <c r="L78" s="26"/>
    </row>
    <row r="79" customFormat="false" ht="15" hidden="false" customHeight="true" outlineLevel="0" collapsed="false">
      <c r="A79" s="18"/>
      <c r="B79" s="18"/>
      <c r="C79" s="18"/>
      <c r="D79" s="18"/>
      <c r="E79" s="19"/>
      <c r="F79" s="19"/>
      <c r="G79" s="19"/>
      <c r="H79" s="20" t="str">
        <f aca="false">IF(OR($E79="",$F79=""),"",ABS($E79-$F79))</f>
        <v/>
      </c>
      <c r="I79" s="21" t="str">
        <f aca="false">IF(OR($E79="",$F79="",$G79="",$H79=0),"",(($G79-$E79)*IF($D79="LONG",1,-1))/$H79)</f>
        <v/>
      </c>
      <c r="J79" s="22" t="str">
        <f aca="false">IF($I79="","",IF($I79&gt;0,"WIN",IF($I79&lt;0,"LOSS","BE")))</f>
        <v/>
      </c>
      <c r="K79" s="18"/>
      <c r="L79" s="23"/>
    </row>
    <row r="80" customFormat="false" ht="15" hidden="false" customHeight="true" outlineLevel="0" collapsed="false">
      <c r="A80" s="24"/>
      <c r="B80" s="24"/>
      <c r="C80" s="24"/>
      <c r="D80" s="24"/>
      <c r="E80" s="25"/>
      <c r="F80" s="25"/>
      <c r="G80" s="25"/>
      <c r="H80" s="20" t="str">
        <f aca="false">IF(OR($E80="",$F80=""),"",ABS($E80-$F80))</f>
        <v/>
      </c>
      <c r="I80" s="21" t="str">
        <f aca="false">IF(OR($E80="",$F80="",$G80="",$H80=0),"",(($G80-$E80)*IF($D80="LONG",1,-1))/$H80)</f>
        <v/>
      </c>
      <c r="J80" s="22" t="str">
        <f aca="false">IF($I80="","",IF($I80&gt;0,"WIN",IF($I80&lt;0,"LOSS","BE")))</f>
        <v/>
      </c>
      <c r="K80" s="24"/>
      <c r="L80" s="26"/>
    </row>
    <row r="81" customFormat="false" ht="15" hidden="false" customHeight="true" outlineLevel="0" collapsed="false">
      <c r="A81" s="18"/>
      <c r="B81" s="18"/>
      <c r="C81" s="18"/>
      <c r="D81" s="18"/>
      <c r="E81" s="19"/>
      <c r="F81" s="19"/>
      <c r="G81" s="19"/>
      <c r="H81" s="20" t="str">
        <f aca="false">IF(OR($E81="",$F81=""),"",ABS($E81-$F81))</f>
        <v/>
      </c>
      <c r="I81" s="21" t="str">
        <f aca="false">IF(OR($E81="",$F81="",$G81="",$H81=0),"",(($G81-$E81)*IF($D81="LONG",1,-1))/$H81)</f>
        <v/>
      </c>
      <c r="J81" s="22" t="str">
        <f aca="false">IF($I81="","",IF($I81&gt;0,"WIN",IF($I81&lt;0,"LOSS","BE")))</f>
        <v/>
      </c>
      <c r="K81" s="18"/>
      <c r="L81" s="23"/>
    </row>
    <row r="82" customFormat="false" ht="15" hidden="false" customHeight="true" outlineLevel="0" collapsed="false">
      <c r="A82" s="24"/>
      <c r="B82" s="24"/>
      <c r="C82" s="24"/>
      <c r="D82" s="24"/>
      <c r="E82" s="25"/>
      <c r="F82" s="25"/>
      <c r="G82" s="25"/>
      <c r="H82" s="20" t="str">
        <f aca="false">IF(OR($E82="",$F82=""),"",ABS($E82-$F82))</f>
        <v/>
      </c>
      <c r="I82" s="21" t="str">
        <f aca="false">IF(OR($E82="",$F82="",$G82="",$H82=0),"",(($G82-$E82)*IF($D82="LONG",1,-1))/$H82)</f>
        <v/>
      </c>
      <c r="J82" s="22" t="str">
        <f aca="false">IF($I82="","",IF($I82&gt;0,"WIN",IF($I82&lt;0,"LOSS","BE")))</f>
        <v/>
      </c>
      <c r="K82" s="24"/>
      <c r="L82" s="26"/>
    </row>
    <row r="83" customFormat="false" ht="15" hidden="false" customHeight="true" outlineLevel="0" collapsed="false">
      <c r="A83" s="18"/>
      <c r="B83" s="18"/>
      <c r="C83" s="18"/>
      <c r="D83" s="18"/>
      <c r="E83" s="19"/>
      <c r="F83" s="19"/>
      <c r="G83" s="19"/>
      <c r="H83" s="20" t="str">
        <f aca="false">IF(OR($E83="",$F83=""),"",ABS($E83-$F83))</f>
        <v/>
      </c>
      <c r="I83" s="21" t="str">
        <f aca="false">IF(OR($E83="",$F83="",$G83="",$H83=0),"",(($G83-$E83)*IF($D83="LONG",1,-1))/$H83)</f>
        <v/>
      </c>
      <c r="J83" s="22" t="str">
        <f aca="false">IF($I83="","",IF($I83&gt;0,"WIN",IF($I83&lt;0,"LOSS","BE")))</f>
        <v/>
      </c>
      <c r="K83" s="18"/>
      <c r="L83" s="23"/>
    </row>
    <row r="84" customFormat="false" ht="15" hidden="false" customHeight="true" outlineLevel="0" collapsed="false">
      <c r="A84" s="24"/>
      <c r="B84" s="24"/>
      <c r="C84" s="24"/>
      <c r="D84" s="24"/>
      <c r="E84" s="25"/>
      <c r="F84" s="25"/>
      <c r="G84" s="25"/>
      <c r="H84" s="20" t="str">
        <f aca="false">IF(OR($E84="",$F84=""),"",ABS($E84-$F84))</f>
        <v/>
      </c>
      <c r="I84" s="21" t="str">
        <f aca="false">IF(OR($E84="",$F84="",$G84="",$H84=0),"",(($G84-$E84)*IF($D84="LONG",1,-1))/$H84)</f>
        <v/>
      </c>
      <c r="J84" s="22" t="str">
        <f aca="false">IF($I84="","",IF($I84&gt;0,"WIN",IF($I84&lt;0,"LOSS","BE")))</f>
        <v/>
      </c>
      <c r="K84" s="24"/>
      <c r="L84" s="26"/>
    </row>
    <row r="85" customFormat="false" ht="15" hidden="false" customHeight="true" outlineLevel="0" collapsed="false">
      <c r="A85" s="18"/>
      <c r="B85" s="18"/>
      <c r="C85" s="18"/>
      <c r="D85" s="18"/>
      <c r="E85" s="19"/>
      <c r="F85" s="19"/>
      <c r="G85" s="19"/>
      <c r="H85" s="20" t="str">
        <f aca="false">IF(OR($E85="",$F85=""),"",ABS($E85-$F85))</f>
        <v/>
      </c>
      <c r="I85" s="21" t="str">
        <f aca="false">IF(OR($E85="",$F85="",$G85="",$H85=0),"",(($G85-$E85)*IF($D85="LONG",1,-1))/$H85)</f>
        <v/>
      </c>
      <c r="J85" s="22" t="str">
        <f aca="false">IF($I85="","",IF($I85&gt;0,"WIN",IF($I85&lt;0,"LOSS","BE")))</f>
        <v/>
      </c>
      <c r="K85" s="18"/>
      <c r="L85" s="23"/>
    </row>
    <row r="86" customFormat="false" ht="15" hidden="false" customHeight="true" outlineLevel="0" collapsed="false">
      <c r="A86" s="24"/>
      <c r="B86" s="24"/>
      <c r="C86" s="24"/>
      <c r="D86" s="24"/>
      <c r="E86" s="25"/>
      <c r="F86" s="25"/>
      <c r="G86" s="25"/>
      <c r="H86" s="20" t="str">
        <f aca="false">IF(OR($E86="",$F86=""),"",ABS($E86-$F86))</f>
        <v/>
      </c>
      <c r="I86" s="21" t="str">
        <f aca="false">IF(OR($E86="",$F86="",$G86="",$H86=0),"",(($G86-$E86)*IF($D86="LONG",1,-1))/$H86)</f>
        <v/>
      </c>
      <c r="J86" s="22" t="str">
        <f aca="false">IF($I86="","",IF($I86&gt;0,"WIN",IF($I86&lt;0,"LOSS","BE")))</f>
        <v/>
      </c>
      <c r="K86" s="24"/>
      <c r="L86" s="26"/>
    </row>
    <row r="87" customFormat="false" ht="15" hidden="false" customHeight="true" outlineLevel="0" collapsed="false">
      <c r="A87" s="18"/>
      <c r="B87" s="18"/>
      <c r="C87" s="18"/>
      <c r="D87" s="18"/>
      <c r="E87" s="19"/>
      <c r="F87" s="19"/>
      <c r="G87" s="19"/>
      <c r="H87" s="20" t="str">
        <f aca="false">IF(OR($E87="",$F87=""),"",ABS($E87-$F87))</f>
        <v/>
      </c>
      <c r="I87" s="21" t="str">
        <f aca="false">IF(OR($E87="",$F87="",$G87="",$H87=0),"",(($G87-$E87)*IF($D87="LONG",1,-1))/$H87)</f>
        <v/>
      </c>
      <c r="J87" s="22" t="str">
        <f aca="false">IF($I87="","",IF($I87&gt;0,"WIN",IF($I87&lt;0,"LOSS","BE")))</f>
        <v/>
      </c>
      <c r="K87" s="18"/>
      <c r="L87" s="23"/>
    </row>
    <row r="88" customFormat="false" ht="15" hidden="false" customHeight="true" outlineLevel="0" collapsed="false">
      <c r="A88" s="24"/>
      <c r="B88" s="24"/>
      <c r="C88" s="24"/>
      <c r="D88" s="24"/>
      <c r="E88" s="25"/>
      <c r="F88" s="25"/>
      <c r="G88" s="25"/>
      <c r="H88" s="20" t="str">
        <f aca="false">IF(OR($E88="",$F88=""),"",ABS($E88-$F88))</f>
        <v/>
      </c>
      <c r="I88" s="21" t="str">
        <f aca="false">IF(OR($E88="",$F88="",$G88="",$H88=0),"",(($G88-$E88)*IF($D88="LONG",1,-1))/$H88)</f>
        <v/>
      </c>
      <c r="J88" s="22" t="str">
        <f aca="false">IF($I88="","",IF($I88&gt;0,"WIN",IF($I88&lt;0,"LOSS","BE")))</f>
        <v/>
      </c>
      <c r="K88" s="24"/>
      <c r="L88" s="26"/>
    </row>
    <row r="89" customFormat="false" ht="15" hidden="false" customHeight="true" outlineLevel="0" collapsed="false">
      <c r="A89" s="18"/>
      <c r="B89" s="18"/>
      <c r="C89" s="18"/>
      <c r="D89" s="18"/>
      <c r="E89" s="19"/>
      <c r="F89" s="19"/>
      <c r="G89" s="19"/>
      <c r="H89" s="20" t="str">
        <f aca="false">IF(OR($E89="",$F89=""),"",ABS($E89-$F89))</f>
        <v/>
      </c>
      <c r="I89" s="21" t="str">
        <f aca="false">IF(OR($E89="",$F89="",$G89="",$H89=0),"",(($G89-$E89)*IF($D89="LONG",1,-1))/$H89)</f>
        <v/>
      </c>
      <c r="J89" s="22" t="str">
        <f aca="false">IF($I89="","",IF($I89&gt;0,"WIN",IF($I89&lt;0,"LOSS","BE")))</f>
        <v/>
      </c>
      <c r="K89" s="18"/>
      <c r="L89" s="23"/>
    </row>
    <row r="90" customFormat="false" ht="15" hidden="false" customHeight="true" outlineLevel="0" collapsed="false">
      <c r="A90" s="24"/>
      <c r="B90" s="24"/>
      <c r="C90" s="24"/>
      <c r="D90" s="24"/>
      <c r="E90" s="25"/>
      <c r="F90" s="25"/>
      <c r="G90" s="25"/>
      <c r="H90" s="20" t="str">
        <f aca="false">IF(OR($E90="",$F90=""),"",ABS($E90-$F90))</f>
        <v/>
      </c>
      <c r="I90" s="21" t="str">
        <f aca="false">IF(OR($E90="",$F90="",$G90="",$H90=0),"",(($G90-$E90)*IF($D90="LONG",1,-1))/$H90)</f>
        <v/>
      </c>
      <c r="J90" s="22" t="str">
        <f aca="false">IF($I90="","",IF($I90&gt;0,"WIN",IF($I90&lt;0,"LOSS","BE")))</f>
        <v/>
      </c>
      <c r="K90" s="24"/>
      <c r="L90" s="26"/>
    </row>
    <row r="91" customFormat="false" ht="15" hidden="false" customHeight="true" outlineLevel="0" collapsed="false">
      <c r="A91" s="18"/>
      <c r="B91" s="18"/>
      <c r="C91" s="18"/>
      <c r="D91" s="18"/>
      <c r="E91" s="19"/>
      <c r="F91" s="19"/>
      <c r="G91" s="19"/>
      <c r="H91" s="20" t="str">
        <f aca="false">IF(OR($E91="",$F91=""),"",ABS($E91-$F91))</f>
        <v/>
      </c>
      <c r="I91" s="21" t="str">
        <f aca="false">IF(OR($E91="",$F91="",$G91="",$H91=0),"",(($G91-$E91)*IF($D91="LONG",1,-1))/$H91)</f>
        <v/>
      </c>
      <c r="J91" s="22" t="str">
        <f aca="false">IF($I91="","",IF($I91&gt;0,"WIN",IF($I91&lt;0,"LOSS","BE")))</f>
        <v/>
      </c>
      <c r="K91" s="18"/>
      <c r="L91" s="23"/>
    </row>
    <row r="92" customFormat="false" ht="15" hidden="false" customHeight="true" outlineLevel="0" collapsed="false">
      <c r="A92" s="24"/>
      <c r="B92" s="24"/>
      <c r="C92" s="24"/>
      <c r="D92" s="24"/>
      <c r="E92" s="25"/>
      <c r="F92" s="25"/>
      <c r="G92" s="25"/>
      <c r="H92" s="20" t="str">
        <f aca="false">IF(OR($E92="",$F92=""),"",ABS($E92-$F92))</f>
        <v/>
      </c>
      <c r="I92" s="21" t="str">
        <f aca="false">IF(OR($E92="",$F92="",$G92="",$H92=0),"",(($G92-$E92)*IF($D92="LONG",1,-1))/$H92)</f>
        <v/>
      </c>
      <c r="J92" s="22" t="str">
        <f aca="false">IF($I92="","",IF($I92&gt;0,"WIN",IF($I92&lt;0,"LOSS","BE")))</f>
        <v/>
      </c>
      <c r="K92" s="24"/>
      <c r="L92" s="26"/>
    </row>
    <row r="93" customFormat="false" ht="15" hidden="false" customHeight="true" outlineLevel="0" collapsed="false">
      <c r="A93" s="18"/>
      <c r="B93" s="18"/>
      <c r="C93" s="18"/>
      <c r="D93" s="18"/>
      <c r="E93" s="19"/>
      <c r="F93" s="19"/>
      <c r="G93" s="19"/>
      <c r="H93" s="20" t="str">
        <f aca="false">IF(OR($E93="",$F93=""),"",ABS($E93-$F93))</f>
        <v/>
      </c>
      <c r="I93" s="21" t="str">
        <f aca="false">IF(OR($E93="",$F93="",$G93="",$H93=0),"",(($G93-$E93)*IF($D93="LONG",1,-1))/$H93)</f>
        <v/>
      </c>
      <c r="J93" s="22" t="str">
        <f aca="false">IF($I93="","",IF($I93&gt;0,"WIN",IF($I93&lt;0,"LOSS","BE")))</f>
        <v/>
      </c>
      <c r="K93" s="18"/>
      <c r="L93" s="23"/>
    </row>
    <row r="94" customFormat="false" ht="15" hidden="false" customHeight="true" outlineLevel="0" collapsed="false">
      <c r="A94" s="24"/>
      <c r="B94" s="24"/>
      <c r="C94" s="24"/>
      <c r="D94" s="24"/>
      <c r="E94" s="25"/>
      <c r="F94" s="25"/>
      <c r="G94" s="25"/>
      <c r="H94" s="20" t="str">
        <f aca="false">IF(OR($E94="",$F94=""),"",ABS($E94-$F94))</f>
        <v/>
      </c>
      <c r="I94" s="21" t="str">
        <f aca="false">IF(OR($E94="",$F94="",$G94="",$H94=0),"",(($G94-$E94)*IF($D94="LONG",1,-1))/$H94)</f>
        <v/>
      </c>
      <c r="J94" s="22" t="str">
        <f aca="false">IF($I94="","",IF($I94&gt;0,"WIN",IF($I94&lt;0,"LOSS","BE")))</f>
        <v/>
      </c>
      <c r="K94" s="24"/>
      <c r="L94" s="26"/>
    </row>
    <row r="95" customFormat="false" ht="15" hidden="false" customHeight="true" outlineLevel="0" collapsed="false">
      <c r="A95" s="18"/>
      <c r="B95" s="18"/>
      <c r="C95" s="18"/>
      <c r="D95" s="18"/>
      <c r="E95" s="19"/>
      <c r="F95" s="19"/>
      <c r="G95" s="19"/>
      <c r="H95" s="20" t="str">
        <f aca="false">IF(OR($E95="",$F95=""),"",ABS($E95-$F95))</f>
        <v/>
      </c>
      <c r="I95" s="21" t="str">
        <f aca="false">IF(OR($E95="",$F95="",$G95="",$H95=0),"",(($G95-$E95)*IF($D95="LONG",1,-1))/$H95)</f>
        <v/>
      </c>
      <c r="J95" s="22" t="str">
        <f aca="false">IF($I95="","",IF($I95&gt;0,"WIN",IF($I95&lt;0,"LOSS","BE")))</f>
        <v/>
      </c>
      <c r="K95" s="18"/>
      <c r="L95" s="23"/>
    </row>
    <row r="96" customFormat="false" ht="15" hidden="false" customHeight="true" outlineLevel="0" collapsed="false">
      <c r="A96" s="24"/>
      <c r="B96" s="24"/>
      <c r="C96" s="24"/>
      <c r="D96" s="24"/>
      <c r="E96" s="25"/>
      <c r="F96" s="25"/>
      <c r="G96" s="25"/>
      <c r="H96" s="20" t="str">
        <f aca="false">IF(OR($E96="",$F96=""),"",ABS($E96-$F96))</f>
        <v/>
      </c>
      <c r="I96" s="21" t="str">
        <f aca="false">IF(OR($E96="",$F96="",$G96="",$H96=0),"",(($G96-$E96)*IF($D96="LONG",1,-1))/$H96)</f>
        <v/>
      </c>
      <c r="J96" s="22" t="str">
        <f aca="false">IF($I96="","",IF($I96&gt;0,"WIN",IF($I96&lt;0,"LOSS","BE")))</f>
        <v/>
      </c>
      <c r="K96" s="24"/>
      <c r="L96" s="26"/>
    </row>
    <row r="97" customFormat="false" ht="15" hidden="false" customHeight="true" outlineLevel="0" collapsed="false">
      <c r="A97" s="18"/>
      <c r="B97" s="18"/>
      <c r="C97" s="18"/>
      <c r="D97" s="18"/>
      <c r="E97" s="19"/>
      <c r="F97" s="19"/>
      <c r="G97" s="19"/>
      <c r="H97" s="20" t="str">
        <f aca="false">IF(OR($E97="",$F97=""),"",ABS($E97-$F97))</f>
        <v/>
      </c>
      <c r="I97" s="21" t="str">
        <f aca="false">IF(OR($E97="",$F97="",$G97="",$H97=0),"",(($G97-$E97)*IF($D97="LONG",1,-1))/$H97)</f>
        <v/>
      </c>
      <c r="J97" s="22" t="str">
        <f aca="false">IF($I97="","",IF($I97&gt;0,"WIN",IF($I97&lt;0,"LOSS","BE")))</f>
        <v/>
      </c>
      <c r="K97" s="18"/>
      <c r="L97" s="23"/>
    </row>
    <row r="98" customFormat="false" ht="15" hidden="false" customHeight="true" outlineLevel="0" collapsed="false">
      <c r="A98" s="24"/>
      <c r="B98" s="24"/>
      <c r="C98" s="24"/>
      <c r="D98" s="24"/>
      <c r="E98" s="25"/>
      <c r="F98" s="25"/>
      <c r="G98" s="25"/>
      <c r="H98" s="20" t="str">
        <f aca="false">IF(OR($E98="",$F98=""),"",ABS($E98-$F98))</f>
        <v/>
      </c>
      <c r="I98" s="21" t="str">
        <f aca="false">IF(OR($E98="",$F98="",$G98="",$H98=0),"",(($G98-$E98)*IF($D98="LONG",1,-1))/$H98)</f>
        <v/>
      </c>
      <c r="J98" s="22" t="str">
        <f aca="false">IF($I98="","",IF($I98&gt;0,"WIN",IF($I98&lt;0,"LOSS","BE")))</f>
        <v/>
      </c>
      <c r="K98" s="24"/>
      <c r="L98" s="26"/>
    </row>
    <row r="99" customFormat="false" ht="15" hidden="false" customHeight="true" outlineLevel="0" collapsed="false">
      <c r="A99" s="18"/>
      <c r="B99" s="18"/>
      <c r="C99" s="18"/>
      <c r="D99" s="18"/>
      <c r="E99" s="19"/>
      <c r="F99" s="19"/>
      <c r="G99" s="19"/>
      <c r="H99" s="20" t="str">
        <f aca="false">IF(OR($E99="",$F99=""),"",ABS($E99-$F99))</f>
        <v/>
      </c>
      <c r="I99" s="21" t="str">
        <f aca="false">IF(OR($E99="",$F99="",$G99="",$H99=0),"",(($G99-$E99)*IF($D99="LONG",1,-1))/$H99)</f>
        <v/>
      </c>
      <c r="J99" s="22" t="str">
        <f aca="false">IF($I99="","",IF($I99&gt;0,"WIN",IF($I99&lt;0,"LOSS","BE")))</f>
        <v/>
      </c>
      <c r="K99" s="18"/>
      <c r="L99" s="23"/>
    </row>
    <row r="100" customFormat="false" ht="15" hidden="false" customHeight="true" outlineLevel="0" collapsed="false">
      <c r="A100" s="24"/>
      <c r="B100" s="24"/>
      <c r="C100" s="24"/>
      <c r="D100" s="24"/>
      <c r="E100" s="25"/>
      <c r="F100" s="25"/>
      <c r="G100" s="25"/>
      <c r="H100" s="20" t="str">
        <f aca="false">IF(OR($E100="",$F100=""),"",ABS($E100-$F100))</f>
        <v/>
      </c>
      <c r="I100" s="21" t="str">
        <f aca="false">IF(OR($E100="",$F100="",$G100="",$H100=0),"",(($G100-$E100)*IF($D100="LONG",1,-1))/$H100)</f>
        <v/>
      </c>
      <c r="J100" s="22" t="str">
        <f aca="false">IF($I100="","",IF($I100&gt;0,"WIN",IF($I100&lt;0,"LOSS","BE")))</f>
        <v/>
      </c>
      <c r="K100" s="24"/>
      <c r="L100" s="26"/>
    </row>
    <row r="101" customFormat="false" ht="15" hidden="false" customHeight="true" outlineLevel="0" collapsed="false">
      <c r="A101" s="18"/>
      <c r="B101" s="18"/>
      <c r="C101" s="18"/>
      <c r="D101" s="18"/>
      <c r="E101" s="19"/>
      <c r="F101" s="19"/>
      <c r="G101" s="19"/>
      <c r="H101" s="20" t="str">
        <f aca="false">IF(OR($E101="",$F101=""),"",ABS($E101-$F101))</f>
        <v/>
      </c>
      <c r="I101" s="21" t="str">
        <f aca="false">IF(OR($E101="",$F101="",$G101="",$H101=0),"",(($G101-$E101)*IF($D101="LONG",1,-1))/$H101)</f>
        <v/>
      </c>
      <c r="J101" s="22" t="str">
        <f aca="false">IF($I101="","",IF($I101&gt;0,"WIN",IF($I101&lt;0,"LOSS","BE")))</f>
        <v/>
      </c>
      <c r="K101" s="18"/>
      <c r="L101" s="23"/>
    </row>
    <row r="102" customFormat="false" ht="15" hidden="false" customHeight="true" outlineLevel="0" collapsed="false">
      <c r="A102" s="24"/>
      <c r="B102" s="24"/>
      <c r="C102" s="24"/>
      <c r="D102" s="24"/>
      <c r="E102" s="25"/>
      <c r="F102" s="25"/>
      <c r="G102" s="25"/>
      <c r="H102" s="20" t="str">
        <f aca="false">IF(OR($E102="",$F102=""),"",ABS($E102-$F102))</f>
        <v/>
      </c>
      <c r="I102" s="21" t="str">
        <f aca="false">IF(OR($E102="",$F102="",$G102="",$H102=0),"",(($G102-$E102)*IF($D102="LONG",1,-1))/$H102)</f>
        <v/>
      </c>
      <c r="J102" s="22" t="str">
        <f aca="false">IF($I102="","",IF($I102&gt;0,"WIN",IF($I102&lt;0,"LOSS","BE")))</f>
        <v/>
      </c>
      <c r="K102" s="24"/>
      <c r="L102" s="26"/>
    </row>
    <row r="103" customFormat="false" ht="15" hidden="false" customHeight="true" outlineLevel="0" collapsed="false">
      <c r="A103" s="18"/>
      <c r="B103" s="18"/>
      <c r="C103" s="18"/>
      <c r="D103" s="18"/>
      <c r="E103" s="19"/>
      <c r="F103" s="19"/>
      <c r="G103" s="19"/>
      <c r="H103" s="20" t="str">
        <f aca="false">IF(OR($E103="",$F103=""),"",ABS($E103-$F103))</f>
        <v/>
      </c>
      <c r="I103" s="21" t="str">
        <f aca="false">IF(OR($E103="",$F103="",$G103="",$H103=0),"",(($G103-$E103)*IF($D103="LONG",1,-1))/$H103)</f>
        <v/>
      </c>
      <c r="J103" s="22" t="str">
        <f aca="false">IF($I103="","",IF($I103&gt;0,"WIN",IF($I103&lt;0,"LOSS","BE")))</f>
        <v/>
      </c>
      <c r="K103" s="18"/>
      <c r="L103" s="23"/>
    </row>
    <row r="104" customFormat="false" ht="15" hidden="false" customHeight="true" outlineLevel="0" collapsed="false">
      <c r="A104" s="24"/>
      <c r="B104" s="24"/>
      <c r="C104" s="24"/>
      <c r="D104" s="24"/>
      <c r="E104" s="25"/>
      <c r="F104" s="25"/>
      <c r="G104" s="25"/>
      <c r="H104" s="20" t="str">
        <f aca="false">IF(OR($E104="",$F104=""),"",ABS($E104-$F104))</f>
        <v/>
      </c>
      <c r="I104" s="21" t="str">
        <f aca="false">IF(OR($E104="",$F104="",$G104="",$H104=0),"",(($G104-$E104)*IF($D104="LONG",1,-1))/$H104)</f>
        <v/>
      </c>
      <c r="J104" s="22" t="str">
        <f aca="false">IF($I104="","",IF($I104&gt;0,"WIN",IF($I104&lt;0,"LOSS","BE")))</f>
        <v/>
      </c>
      <c r="K104" s="24"/>
      <c r="L104" s="26"/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C5:C104" type="list">
      <formula1>"Setup 1,Setup 2,Setup 3"</formula1>
      <formula2>0</formula2>
    </dataValidation>
    <dataValidation allowBlank="true" errorStyle="stop" operator="between" showDropDown="false" showErrorMessage="false" showInputMessage="false" sqref="D5:D104" type="list">
      <formula1>"LONG,SHORT"</formula1>
      <formula2>0</formula2>
    </dataValidation>
    <dataValidation allowBlank="true" errorStyle="stop" operator="between" showDropDown="false" showErrorMessage="false" showInputMessage="false" sqref="K5:K1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7" min="6" style="0" width="22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34"/>
  </cols>
  <sheetData>
    <row r="1" customFormat="false" ht="24" hidden="false" customHeight="true" outlineLevel="0" collapsed="false">
      <c r="A1" s="15" t="s">
        <v>81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27.75" hidden="false" customHeight="true" outlineLevel="0" collapsed="false">
      <c r="A2" s="8" t="s">
        <v>82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11" t="s">
        <v>63</v>
      </c>
      <c r="B3" s="11" t="s">
        <v>64</v>
      </c>
      <c r="C3" s="11" t="s">
        <v>65</v>
      </c>
      <c r="D3" s="11" t="s">
        <v>72</v>
      </c>
      <c r="E3" s="11" t="s">
        <v>83</v>
      </c>
      <c r="F3" s="11" t="s">
        <v>84</v>
      </c>
      <c r="G3" s="11" t="s">
        <v>85</v>
      </c>
      <c r="H3" s="11" t="s">
        <v>86</v>
      </c>
      <c r="I3" s="11" t="s">
        <v>87</v>
      </c>
      <c r="J3" s="11" t="s">
        <v>88</v>
      </c>
    </row>
    <row r="4" customFormat="false" ht="25.5" hidden="false" customHeight="true" outlineLevel="0" collapsed="false">
      <c r="A4" s="16" t="str">
        <f aca="false">IF('Trade Log'!A4="","",'Trade Log'!A4)</f>
        <v>EX</v>
      </c>
      <c r="B4" s="16" t="str">
        <f aca="false">IF('Trade Log'!B4="","",'Trade Log'!B4)</f>
        <v>2026-07-20</v>
      </c>
      <c r="C4" s="16" t="str">
        <f aca="false">IF('Trade Log'!C4="","",'Trade Log'!C4)</f>
        <v>Setup 1</v>
      </c>
      <c r="D4" s="16" t="str">
        <f aca="false">IF('Trade Log'!J4="","",'Trade Log'!J4)</f>
        <v>WIN</v>
      </c>
      <c r="E4" s="16" t="n">
        <f aca="false">IF('Trade Log'!I4="","",'Trade Log'!I4)</f>
        <v>2</v>
      </c>
      <c r="F4" s="17" t="s">
        <v>89</v>
      </c>
      <c r="G4" s="17" t="s">
        <v>90</v>
      </c>
      <c r="H4" s="16" t="str">
        <f aca="false">IF('Trade Log'!K4="","",'Trade Log'!K4)</f>
        <v>Y</v>
      </c>
      <c r="I4" s="17" t="s">
        <v>91</v>
      </c>
      <c r="J4" s="17" t="s">
        <v>92</v>
      </c>
    </row>
    <row r="5" customFormat="false" ht="15" hidden="false" customHeight="false" outlineLevel="0" collapsed="false">
      <c r="A5" s="22" t="str">
        <f aca="false">IF('Trade Log'!A5="","",'Trade Log'!A5)</f>
        <v/>
      </c>
      <c r="B5" s="22" t="str">
        <f aca="false">IF('Trade Log'!B5="","",'Trade Log'!B5)</f>
        <v/>
      </c>
      <c r="C5" s="22" t="str">
        <f aca="false">IF('Trade Log'!C5="","",'Trade Log'!C5)</f>
        <v/>
      </c>
      <c r="D5" s="22" t="str">
        <f aca="false">IF('Trade Log'!J5="","",'Trade Log'!J5)</f>
        <v/>
      </c>
      <c r="E5" s="21" t="str">
        <f aca="false">IF('Trade Log'!I5="","",'Trade Log'!I5)</f>
        <v/>
      </c>
      <c r="F5" s="23"/>
      <c r="G5" s="23"/>
      <c r="H5" s="22" t="str">
        <f aca="false">IF('Trade Log'!K5="","",'Trade Log'!K5)</f>
        <v/>
      </c>
      <c r="I5" s="23"/>
      <c r="J5" s="23"/>
    </row>
    <row r="6" customFormat="false" ht="15" hidden="false" customHeight="false" outlineLevel="0" collapsed="false">
      <c r="A6" s="22" t="str">
        <f aca="false">IF('Trade Log'!A6="","",'Trade Log'!A6)</f>
        <v/>
      </c>
      <c r="B6" s="22" t="str">
        <f aca="false">IF('Trade Log'!B6="","",'Trade Log'!B6)</f>
        <v/>
      </c>
      <c r="C6" s="22" t="str">
        <f aca="false">IF('Trade Log'!C6="","",'Trade Log'!C6)</f>
        <v/>
      </c>
      <c r="D6" s="22" t="str">
        <f aca="false">IF('Trade Log'!J6="","",'Trade Log'!J6)</f>
        <v/>
      </c>
      <c r="E6" s="21" t="str">
        <f aca="false">IF('Trade Log'!I6="","",'Trade Log'!I6)</f>
        <v/>
      </c>
      <c r="F6" s="26"/>
      <c r="G6" s="26"/>
      <c r="H6" s="22" t="str">
        <f aca="false">IF('Trade Log'!K6="","",'Trade Log'!K6)</f>
        <v/>
      </c>
      <c r="I6" s="26"/>
      <c r="J6" s="26"/>
    </row>
    <row r="7" customFormat="false" ht="15" hidden="false" customHeight="false" outlineLevel="0" collapsed="false">
      <c r="A7" s="22" t="str">
        <f aca="false">IF('Trade Log'!A7="","",'Trade Log'!A7)</f>
        <v/>
      </c>
      <c r="B7" s="22" t="str">
        <f aca="false">IF('Trade Log'!B7="","",'Trade Log'!B7)</f>
        <v/>
      </c>
      <c r="C7" s="22" t="str">
        <f aca="false">IF('Trade Log'!C7="","",'Trade Log'!C7)</f>
        <v/>
      </c>
      <c r="D7" s="22" t="str">
        <f aca="false">IF('Trade Log'!J7="","",'Trade Log'!J7)</f>
        <v/>
      </c>
      <c r="E7" s="21" t="str">
        <f aca="false">IF('Trade Log'!I7="","",'Trade Log'!I7)</f>
        <v/>
      </c>
      <c r="F7" s="23"/>
      <c r="G7" s="23"/>
      <c r="H7" s="22" t="str">
        <f aca="false">IF('Trade Log'!K7="","",'Trade Log'!K7)</f>
        <v/>
      </c>
      <c r="I7" s="23"/>
      <c r="J7" s="23"/>
    </row>
    <row r="8" customFormat="false" ht="15" hidden="false" customHeight="false" outlineLevel="0" collapsed="false">
      <c r="A8" s="22" t="str">
        <f aca="false">IF('Trade Log'!A8="","",'Trade Log'!A8)</f>
        <v/>
      </c>
      <c r="B8" s="22" t="str">
        <f aca="false">IF('Trade Log'!B8="","",'Trade Log'!B8)</f>
        <v/>
      </c>
      <c r="C8" s="22" t="str">
        <f aca="false">IF('Trade Log'!C8="","",'Trade Log'!C8)</f>
        <v/>
      </c>
      <c r="D8" s="22" t="str">
        <f aca="false">IF('Trade Log'!J8="","",'Trade Log'!J8)</f>
        <v/>
      </c>
      <c r="E8" s="21" t="str">
        <f aca="false">IF('Trade Log'!I8="","",'Trade Log'!I8)</f>
        <v/>
      </c>
      <c r="F8" s="26"/>
      <c r="G8" s="26"/>
      <c r="H8" s="22" t="str">
        <f aca="false">IF('Trade Log'!K8="","",'Trade Log'!K8)</f>
        <v/>
      </c>
      <c r="I8" s="26"/>
      <c r="J8" s="26"/>
    </row>
    <row r="9" customFormat="false" ht="15" hidden="false" customHeight="false" outlineLevel="0" collapsed="false">
      <c r="A9" s="22" t="str">
        <f aca="false">IF('Trade Log'!A9="","",'Trade Log'!A9)</f>
        <v/>
      </c>
      <c r="B9" s="22" t="str">
        <f aca="false">IF('Trade Log'!B9="","",'Trade Log'!B9)</f>
        <v/>
      </c>
      <c r="C9" s="22" t="str">
        <f aca="false">IF('Trade Log'!C9="","",'Trade Log'!C9)</f>
        <v/>
      </c>
      <c r="D9" s="22" t="str">
        <f aca="false">IF('Trade Log'!J9="","",'Trade Log'!J9)</f>
        <v/>
      </c>
      <c r="E9" s="21" t="str">
        <f aca="false">IF('Trade Log'!I9="","",'Trade Log'!I9)</f>
        <v/>
      </c>
      <c r="F9" s="23"/>
      <c r="G9" s="23"/>
      <c r="H9" s="22" t="str">
        <f aca="false">IF('Trade Log'!K9="","",'Trade Log'!K9)</f>
        <v/>
      </c>
      <c r="I9" s="23"/>
      <c r="J9" s="23"/>
    </row>
    <row r="10" customFormat="false" ht="15" hidden="false" customHeight="false" outlineLevel="0" collapsed="false">
      <c r="A10" s="22" t="str">
        <f aca="false">IF('Trade Log'!A10="","",'Trade Log'!A10)</f>
        <v/>
      </c>
      <c r="B10" s="22" t="str">
        <f aca="false">IF('Trade Log'!B10="","",'Trade Log'!B10)</f>
        <v/>
      </c>
      <c r="C10" s="22" t="str">
        <f aca="false">IF('Trade Log'!C10="","",'Trade Log'!C10)</f>
        <v/>
      </c>
      <c r="D10" s="22" t="str">
        <f aca="false">IF('Trade Log'!J10="","",'Trade Log'!J10)</f>
        <v/>
      </c>
      <c r="E10" s="21" t="str">
        <f aca="false">IF('Trade Log'!I10="","",'Trade Log'!I10)</f>
        <v/>
      </c>
      <c r="F10" s="26"/>
      <c r="G10" s="26"/>
      <c r="H10" s="22" t="str">
        <f aca="false">IF('Trade Log'!K10="","",'Trade Log'!K10)</f>
        <v/>
      </c>
      <c r="I10" s="26"/>
      <c r="J10" s="26"/>
    </row>
    <row r="11" customFormat="false" ht="15" hidden="false" customHeight="false" outlineLevel="0" collapsed="false">
      <c r="A11" s="22" t="str">
        <f aca="false">IF('Trade Log'!A11="","",'Trade Log'!A11)</f>
        <v/>
      </c>
      <c r="B11" s="22" t="str">
        <f aca="false">IF('Trade Log'!B11="","",'Trade Log'!B11)</f>
        <v/>
      </c>
      <c r="C11" s="22" t="str">
        <f aca="false">IF('Trade Log'!C11="","",'Trade Log'!C11)</f>
        <v/>
      </c>
      <c r="D11" s="22" t="str">
        <f aca="false">IF('Trade Log'!J11="","",'Trade Log'!J11)</f>
        <v/>
      </c>
      <c r="E11" s="21" t="str">
        <f aca="false">IF('Trade Log'!I11="","",'Trade Log'!I11)</f>
        <v/>
      </c>
      <c r="F11" s="23"/>
      <c r="G11" s="23"/>
      <c r="H11" s="22" t="str">
        <f aca="false">IF('Trade Log'!K11="","",'Trade Log'!K11)</f>
        <v/>
      </c>
      <c r="I11" s="23"/>
      <c r="J11" s="23"/>
    </row>
    <row r="12" customFormat="false" ht="15" hidden="false" customHeight="false" outlineLevel="0" collapsed="false">
      <c r="A12" s="22" t="str">
        <f aca="false">IF('Trade Log'!A12="","",'Trade Log'!A12)</f>
        <v/>
      </c>
      <c r="B12" s="22" t="str">
        <f aca="false">IF('Trade Log'!B12="","",'Trade Log'!B12)</f>
        <v/>
      </c>
      <c r="C12" s="22" t="str">
        <f aca="false">IF('Trade Log'!C12="","",'Trade Log'!C12)</f>
        <v/>
      </c>
      <c r="D12" s="22" t="str">
        <f aca="false">IF('Trade Log'!J12="","",'Trade Log'!J12)</f>
        <v/>
      </c>
      <c r="E12" s="21" t="str">
        <f aca="false">IF('Trade Log'!I12="","",'Trade Log'!I12)</f>
        <v/>
      </c>
      <c r="F12" s="26"/>
      <c r="G12" s="26"/>
      <c r="H12" s="22" t="str">
        <f aca="false">IF('Trade Log'!K12="","",'Trade Log'!K12)</f>
        <v/>
      </c>
      <c r="I12" s="26"/>
      <c r="J12" s="26"/>
    </row>
    <row r="13" customFormat="false" ht="15" hidden="false" customHeight="false" outlineLevel="0" collapsed="false">
      <c r="A13" s="22" t="str">
        <f aca="false">IF('Trade Log'!A13="","",'Trade Log'!A13)</f>
        <v/>
      </c>
      <c r="B13" s="22" t="str">
        <f aca="false">IF('Trade Log'!B13="","",'Trade Log'!B13)</f>
        <v/>
      </c>
      <c r="C13" s="22" t="str">
        <f aca="false">IF('Trade Log'!C13="","",'Trade Log'!C13)</f>
        <v/>
      </c>
      <c r="D13" s="22" t="str">
        <f aca="false">IF('Trade Log'!J13="","",'Trade Log'!J13)</f>
        <v/>
      </c>
      <c r="E13" s="21" t="str">
        <f aca="false">IF('Trade Log'!I13="","",'Trade Log'!I13)</f>
        <v/>
      </c>
      <c r="F13" s="23"/>
      <c r="G13" s="23"/>
      <c r="H13" s="22" t="str">
        <f aca="false">IF('Trade Log'!K13="","",'Trade Log'!K13)</f>
        <v/>
      </c>
      <c r="I13" s="23"/>
      <c r="J13" s="23"/>
    </row>
    <row r="14" customFormat="false" ht="15" hidden="false" customHeight="false" outlineLevel="0" collapsed="false">
      <c r="A14" s="22" t="str">
        <f aca="false">IF('Trade Log'!A14="","",'Trade Log'!A14)</f>
        <v/>
      </c>
      <c r="B14" s="22" t="str">
        <f aca="false">IF('Trade Log'!B14="","",'Trade Log'!B14)</f>
        <v/>
      </c>
      <c r="C14" s="22" t="str">
        <f aca="false">IF('Trade Log'!C14="","",'Trade Log'!C14)</f>
        <v/>
      </c>
      <c r="D14" s="22" t="str">
        <f aca="false">IF('Trade Log'!J14="","",'Trade Log'!J14)</f>
        <v/>
      </c>
      <c r="E14" s="21" t="str">
        <f aca="false">IF('Trade Log'!I14="","",'Trade Log'!I14)</f>
        <v/>
      </c>
      <c r="F14" s="26"/>
      <c r="G14" s="26"/>
      <c r="H14" s="22" t="str">
        <f aca="false">IF('Trade Log'!K14="","",'Trade Log'!K14)</f>
        <v/>
      </c>
      <c r="I14" s="26"/>
      <c r="J14" s="26"/>
    </row>
    <row r="15" customFormat="false" ht="15" hidden="false" customHeight="false" outlineLevel="0" collapsed="false">
      <c r="A15" s="22" t="str">
        <f aca="false">IF('Trade Log'!A15="","",'Trade Log'!A15)</f>
        <v/>
      </c>
      <c r="B15" s="22" t="str">
        <f aca="false">IF('Trade Log'!B15="","",'Trade Log'!B15)</f>
        <v/>
      </c>
      <c r="C15" s="22" t="str">
        <f aca="false">IF('Trade Log'!C15="","",'Trade Log'!C15)</f>
        <v/>
      </c>
      <c r="D15" s="22" t="str">
        <f aca="false">IF('Trade Log'!J15="","",'Trade Log'!J15)</f>
        <v/>
      </c>
      <c r="E15" s="21" t="str">
        <f aca="false">IF('Trade Log'!I15="","",'Trade Log'!I15)</f>
        <v/>
      </c>
      <c r="F15" s="23"/>
      <c r="G15" s="23"/>
      <c r="H15" s="22" t="str">
        <f aca="false">IF('Trade Log'!K15="","",'Trade Log'!K15)</f>
        <v/>
      </c>
      <c r="I15" s="23"/>
      <c r="J15" s="23"/>
    </row>
    <row r="16" customFormat="false" ht="15" hidden="false" customHeight="false" outlineLevel="0" collapsed="false">
      <c r="A16" s="22" t="str">
        <f aca="false">IF('Trade Log'!A16="","",'Trade Log'!A16)</f>
        <v/>
      </c>
      <c r="B16" s="22" t="str">
        <f aca="false">IF('Trade Log'!B16="","",'Trade Log'!B16)</f>
        <v/>
      </c>
      <c r="C16" s="22" t="str">
        <f aca="false">IF('Trade Log'!C16="","",'Trade Log'!C16)</f>
        <v/>
      </c>
      <c r="D16" s="22" t="str">
        <f aca="false">IF('Trade Log'!J16="","",'Trade Log'!J16)</f>
        <v/>
      </c>
      <c r="E16" s="21" t="str">
        <f aca="false">IF('Trade Log'!I16="","",'Trade Log'!I16)</f>
        <v/>
      </c>
      <c r="F16" s="26"/>
      <c r="G16" s="26"/>
      <c r="H16" s="22" t="str">
        <f aca="false">IF('Trade Log'!K16="","",'Trade Log'!K16)</f>
        <v/>
      </c>
      <c r="I16" s="26"/>
      <c r="J16" s="26"/>
    </row>
    <row r="17" customFormat="false" ht="15" hidden="false" customHeight="false" outlineLevel="0" collapsed="false">
      <c r="A17" s="22" t="str">
        <f aca="false">IF('Trade Log'!A17="","",'Trade Log'!A17)</f>
        <v/>
      </c>
      <c r="B17" s="22" t="str">
        <f aca="false">IF('Trade Log'!B17="","",'Trade Log'!B17)</f>
        <v/>
      </c>
      <c r="C17" s="22" t="str">
        <f aca="false">IF('Trade Log'!C17="","",'Trade Log'!C17)</f>
        <v/>
      </c>
      <c r="D17" s="22" t="str">
        <f aca="false">IF('Trade Log'!J17="","",'Trade Log'!J17)</f>
        <v/>
      </c>
      <c r="E17" s="21" t="str">
        <f aca="false">IF('Trade Log'!I17="","",'Trade Log'!I17)</f>
        <v/>
      </c>
      <c r="F17" s="23"/>
      <c r="G17" s="23"/>
      <c r="H17" s="22" t="str">
        <f aca="false">IF('Trade Log'!K17="","",'Trade Log'!K17)</f>
        <v/>
      </c>
      <c r="I17" s="23"/>
      <c r="J17" s="23"/>
    </row>
    <row r="18" customFormat="false" ht="15" hidden="false" customHeight="false" outlineLevel="0" collapsed="false">
      <c r="A18" s="22" t="str">
        <f aca="false">IF('Trade Log'!A18="","",'Trade Log'!A18)</f>
        <v/>
      </c>
      <c r="B18" s="22" t="str">
        <f aca="false">IF('Trade Log'!B18="","",'Trade Log'!B18)</f>
        <v/>
      </c>
      <c r="C18" s="22" t="str">
        <f aca="false">IF('Trade Log'!C18="","",'Trade Log'!C18)</f>
        <v/>
      </c>
      <c r="D18" s="22" t="str">
        <f aca="false">IF('Trade Log'!J18="","",'Trade Log'!J18)</f>
        <v/>
      </c>
      <c r="E18" s="21" t="str">
        <f aca="false">IF('Trade Log'!I18="","",'Trade Log'!I18)</f>
        <v/>
      </c>
      <c r="F18" s="26"/>
      <c r="G18" s="26"/>
      <c r="H18" s="22" t="str">
        <f aca="false">IF('Trade Log'!K18="","",'Trade Log'!K18)</f>
        <v/>
      </c>
      <c r="I18" s="26"/>
      <c r="J18" s="26"/>
    </row>
    <row r="19" customFormat="false" ht="15" hidden="false" customHeight="false" outlineLevel="0" collapsed="false">
      <c r="A19" s="22" t="str">
        <f aca="false">IF('Trade Log'!A19="","",'Trade Log'!A19)</f>
        <v/>
      </c>
      <c r="B19" s="22" t="str">
        <f aca="false">IF('Trade Log'!B19="","",'Trade Log'!B19)</f>
        <v/>
      </c>
      <c r="C19" s="22" t="str">
        <f aca="false">IF('Trade Log'!C19="","",'Trade Log'!C19)</f>
        <v/>
      </c>
      <c r="D19" s="22" t="str">
        <f aca="false">IF('Trade Log'!J19="","",'Trade Log'!J19)</f>
        <v/>
      </c>
      <c r="E19" s="21" t="str">
        <f aca="false">IF('Trade Log'!I19="","",'Trade Log'!I19)</f>
        <v/>
      </c>
      <c r="F19" s="23"/>
      <c r="G19" s="23"/>
      <c r="H19" s="22" t="str">
        <f aca="false">IF('Trade Log'!K19="","",'Trade Log'!K19)</f>
        <v/>
      </c>
      <c r="I19" s="23"/>
      <c r="J19" s="23"/>
    </row>
    <row r="20" customFormat="false" ht="15" hidden="false" customHeight="false" outlineLevel="0" collapsed="false">
      <c r="A20" s="22" t="str">
        <f aca="false">IF('Trade Log'!A20="","",'Trade Log'!A20)</f>
        <v/>
      </c>
      <c r="B20" s="22" t="str">
        <f aca="false">IF('Trade Log'!B20="","",'Trade Log'!B20)</f>
        <v/>
      </c>
      <c r="C20" s="22" t="str">
        <f aca="false">IF('Trade Log'!C20="","",'Trade Log'!C20)</f>
        <v/>
      </c>
      <c r="D20" s="22" t="str">
        <f aca="false">IF('Trade Log'!J20="","",'Trade Log'!J20)</f>
        <v/>
      </c>
      <c r="E20" s="21" t="str">
        <f aca="false">IF('Trade Log'!I20="","",'Trade Log'!I20)</f>
        <v/>
      </c>
      <c r="F20" s="26"/>
      <c r="G20" s="26"/>
      <c r="H20" s="22" t="str">
        <f aca="false">IF('Trade Log'!K20="","",'Trade Log'!K20)</f>
        <v/>
      </c>
      <c r="I20" s="26"/>
      <c r="J20" s="26"/>
    </row>
    <row r="21" customFormat="false" ht="15" hidden="false" customHeight="false" outlineLevel="0" collapsed="false">
      <c r="A21" s="22" t="str">
        <f aca="false">IF('Trade Log'!A21="","",'Trade Log'!A21)</f>
        <v/>
      </c>
      <c r="B21" s="22" t="str">
        <f aca="false">IF('Trade Log'!B21="","",'Trade Log'!B21)</f>
        <v/>
      </c>
      <c r="C21" s="22" t="str">
        <f aca="false">IF('Trade Log'!C21="","",'Trade Log'!C21)</f>
        <v/>
      </c>
      <c r="D21" s="22" t="str">
        <f aca="false">IF('Trade Log'!J21="","",'Trade Log'!J21)</f>
        <v/>
      </c>
      <c r="E21" s="21" t="str">
        <f aca="false">IF('Trade Log'!I21="","",'Trade Log'!I21)</f>
        <v/>
      </c>
      <c r="F21" s="23"/>
      <c r="G21" s="23"/>
      <c r="H21" s="22" t="str">
        <f aca="false">IF('Trade Log'!K21="","",'Trade Log'!K21)</f>
        <v/>
      </c>
      <c r="I21" s="23"/>
      <c r="J21" s="23"/>
    </row>
    <row r="22" customFormat="false" ht="15" hidden="false" customHeight="false" outlineLevel="0" collapsed="false">
      <c r="A22" s="22" t="str">
        <f aca="false">IF('Trade Log'!A22="","",'Trade Log'!A22)</f>
        <v/>
      </c>
      <c r="B22" s="22" t="str">
        <f aca="false">IF('Trade Log'!B22="","",'Trade Log'!B22)</f>
        <v/>
      </c>
      <c r="C22" s="22" t="str">
        <f aca="false">IF('Trade Log'!C22="","",'Trade Log'!C22)</f>
        <v/>
      </c>
      <c r="D22" s="22" t="str">
        <f aca="false">IF('Trade Log'!J22="","",'Trade Log'!J22)</f>
        <v/>
      </c>
      <c r="E22" s="21" t="str">
        <f aca="false">IF('Trade Log'!I22="","",'Trade Log'!I22)</f>
        <v/>
      </c>
      <c r="F22" s="26"/>
      <c r="G22" s="26"/>
      <c r="H22" s="22" t="str">
        <f aca="false">IF('Trade Log'!K22="","",'Trade Log'!K22)</f>
        <v/>
      </c>
      <c r="I22" s="26"/>
      <c r="J22" s="26"/>
    </row>
    <row r="23" customFormat="false" ht="15" hidden="false" customHeight="false" outlineLevel="0" collapsed="false">
      <c r="A23" s="22" t="str">
        <f aca="false">IF('Trade Log'!A23="","",'Trade Log'!A23)</f>
        <v/>
      </c>
      <c r="B23" s="22" t="str">
        <f aca="false">IF('Trade Log'!B23="","",'Trade Log'!B23)</f>
        <v/>
      </c>
      <c r="C23" s="22" t="str">
        <f aca="false">IF('Trade Log'!C23="","",'Trade Log'!C23)</f>
        <v/>
      </c>
      <c r="D23" s="22" t="str">
        <f aca="false">IF('Trade Log'!J23="","",'Trade Log'!J23)</f>
        <v/>
      </c>
      <c r="E23" s="21" t="str">
        <f aca="false">IF('Trade Log'!I23="","",'Trade Log'!I23)</f>
        <v/>
      </c>
      <c r="F23" s="23"/>
      <c r="G23" s="23"/>
      <c r="H23" s="22" t="str">
        <f aca="false">IF('Trade Log'!K23="","",'Trade Log'!K23)</f>
        <v/>
      </c>
      <c r="I23" s="23"/>
      <c r="J23" s="23"/>
    </row>
    <row r="24" customFormat="false" ht="15" hidden="false" customHeight="false" outlineLevel="0" collapsed="false">
      <c r="A24" s="22" t="str">
        <f aca="false">IF('Trade Log'!A24="","",'Trade Log'!A24)</f>
        <v/>
      </c>
      <c r="B24" s="22" t="str">
        <f aca="false">IF('Trade Log'!B24="","",'Trade Log'!B24)</f>
        <v/>
      </c>
      <c r="C24" s="22" t="str">
        <f aca="false">IF('Trade Log'!C24="","",'Trade Log'!C24)</f>
        <v/>
      </c>
      <c r="D24" s="22" t="str">
        <f aca="false">IF('Trade Log'!J24="","",'Trade Log'!J24)</f>
        <v/>
      </c>
      <c r="E24" s="21" t="str">
        <f aca="false">IF('Trade Log'!I24="","",'Trade Log'!I24)</f>
        <v/>
      </c>
      <c r="F24" s="26"/>
      <c r="G24" s="26"/>
      <c r="H24" s="22" t="str">
        <f aca="false">IF('Trade Log'!K24="","",'Trade Log'!K24)</f>
        <v/>
      </c>
      <c r="I24" s="26"/>
      <c r="J24" s="26"/>
    </row>
    <row r="25" customFormat="false" ht="15" hidden="false" customHeight="false" outlineLevel="0" collapsed="false">
      <c r="A25" s="22" t="str">
        <f aca="false">IF('Trade Log'!A25="","",'Trade Log'!A25)</f>
        <v/>
      </c>
      <c r="B25" s="22" t="str">
        <f aca="false">IF('Trade Log'!B25="","",'Trade Log'!B25)</f>
        <v/>
      </c>
      <c r="C25" s="22" t="str">
        <f aca="false">IF('Trade Log'!C25="","",'Trade Log'!C25)</f>
        <v/>
      </c>
      <c r="D25" s="22" t="str">
        <f aca="false">IF('Trade Log'!J25="","",'Trade Log'!J25)</f>
        <v/>
      </c>
      <c r="E25" s="21" t="str">
        <f aca="false">IF('Trade Log'!I25="","",'Trade Log'!I25)</f>
        <v/>
      </c>
      <c r="F25" s="23"/>
      <c r="G25" s="23"/>
      <c r="H25" s="22" t="str">
        <f aca="false">IF('Trade Log'!K25="","",'Trade Log'!K25)</f>
        <v/>
      </c>
      <c r="I25" s="23"/>
      <c r="J25" s="23"/>
    </row>
    <row r="26" customFormat="false" ht="15" hidden="false" customHeight="false" outlineLevel="0" collapsed="false">
      <c r="A26" s="22" t="str">
        <f aca="false">IF('Trade Log'!A26="","",'Trade Log'!A26)</f>
        <v/>
      </c>
      <c r="B26" s="22" t="str">
        <f aca="false">IF('Trade Log'!B26="","",'Trade Log'!B26)</f>
        <v/>
      </c>
      <c r="C26" s="22" t="str">
        <f aca="false">IF('Trade Log'!C26="","",'Trade Log'!C26)</f>
        <v/>
      </c>
      <c r="D26" s="22" t="str">
        <f aca="false">IF('Trade Log'!J26="","",'Trade Log'!J26)</f>
        <v/>
      </c>
      <c r="E26" s="21" t="str">
        <f aca="false">IF('Trade Log'!I26="","",'Trade Log'!I26)</f>
        <v/>
      </c>
      <c r="F26" s="26"/>
      <c r="G26" s="26"/>
      <c r="H26" s="22" t="str">
        <f aca="false">IF('Trade Log'!K26="","",'Trade Log'!K26)</f>
        <v/>
      </c>
      <c r="I26" s="26"/>
      <c r="J26" s="26"/>
    </row>
    <row r="27" customFormat="false" ht="15" hidden="false" customHeight="false" outlineLevel="0" collapsed="false">
      <c r="A27" s="22" t="str">
        <f aca="false">IF('Trade Log'!A27="","",'Trade Log'!A27)</f>
        <v/>
      </c>
      <c r="B27" s="22" t="str">
        <f aca="false">IF('Trade Log'!B27="","",'Trade Log'!B27)</f>
        <v/>
      </c>
      <c r="C27" s="22" t="str">
        <f aca="false">IF('Trade Log'!C27="","",'Trade Log'!C27)</f>
        <v/>
      </c>
      <c r="D27" s="22" t="str">
        <f aca="false">IF('Trade Log'!J27="","",'Trade Log'!J27)</f>
        <v/>
      </c>
      <c r="E27" s="21" t="str">
        <f aca="false">IF('Trade Log'!I27="","",'Trade Log'!I27)</f>
        <v/>
      </c>
      <c r="F27" s="23"/>
      <c r="G27" s="23"/>
      <c r="H27" s="22" t="str">
        <f aca="false">IF('Trade Log'!K27="","",'Trade Log'!K27)</f>
        <v/>
      </c>
      <c r="I27" s="23"/>
      <c r="J27" s="23"/>
    </row>
    <row r="28" customFormat="false" ht="15" hidden="false" customHeight="false" outlineLevel="0" collapsed="false">
      <c r="A28" s="22" t="str">
        <f aca="false">IF('Trade Log'!A28="","",'Trade Log'!A28)</f>
        <v/>
      </c>
      <c r="B28" s="22" t="str">
        <f aca="false">IF('Trade Log'!B28="","",'Trade Log'!B28)</f>
        <v/>
      </c>
      <c r="C28" s="22" t="str">
        <f aca="false">IF('Trade Log'!C28="","",'Trade Log'!C28)</f>
        <v/>
      </c>
      <c r="D28" s="22" t="str">
        <f aca="false">IF('Trade Log'!J28="","",'Trade Log'!J28)</f>
        <v/>
      </c>
      <c r="E28" s="21" t="str">
        <f aca="false">IF('Trade Log'!I28="","",'Trade Log'!I28)</f>
        <v/>
      </c>
      <c r="F28" s="26"/>
      <c r="G28" s="26"/>
      <c r="H28" s="22" t="str">
        <f aca="false">IF('Trade Log'!K28="","",'Trade Log'!K28)</f>
        <v/>
      </c>
      <c r="I28" s="26"/>
      <c r="J28" s="26"/>
    </row>
    <row r="29" customFormat="false" ht="15" hidden="false" customHeight="false" outlineLevel="0" collapsed="false">
      <c r="A29" s="22" t="str">
        <f aca="false">IF('Trade Log'!A29="","",'Trade Log'!A29)</f>
        <v/>
      </c>
      <c r="B29" s="22" t="str">
        <f aca="false">IF('Trade Log'!B29="","",'Trade Log'!B29)</f>
        <v/>
      </c>
      <c r="C29" s="22" t="str">
        <f aca="false">IF('Trade Log'!C29="","",'Trade Log'!C29)</f>
        <v/>
      </c>
      <c r="D29" s="22" t="str">
        <f aca="false">IF('Trade Log'!J29="","",'Trade Log'!J29)</f>
        <v/>
      </c>
      <c r="E29" s="21" t="str">
        <f aca="false">IF('Trade Log'!I29="","",'Trade Log'!I29)</f>
        <v/>
      </c>
      <c r="F29" s="23"/>
      <c r="G29" s="23"/>
      <c r="H29" s="22" t="str">
        <f aca="false">IF('Trade Log'!K29="","",'Trade Log'!K29)</f>
        <v/>
      </c>
      <c r="I29" s="23"/>
      <c r="J29" s="23"/>
    </row>
    <row r="30" customFormat="false" ht="15" hidden="false" customHeight="false" outlineLevel="0" collapsed="false">
      <c r="A30" s="22" t="str">
        <f aca="false">IF('Trade Log'!A30="","",'Trade Log'!A30)</f>
        <v/>
      </c>
      <c r="B30" s="22" t="str">
        <f aca="false">IF('Trade Log'!B30="","",'Trade Log'!B30)</f>
        <v/>
      </c>
      <c r="C30" s="22" t="str">
        <f aca="false">IF('Trade Log'!C30="","",'Trade Log'!C30)</f>
        <v/>
      </c>
      <c r="D30" s="22" t="str">
        <f aca="false">IF('Trade Log'!J30="","",'Trade Log'!J30)</f>
        <v/>
      </c>
      <c r="E30" s="21" t="str">
        <f aca="false">IF('Trade Log'!I30="","",'Trade Log'!I30)</f>
        <v/>
      </c>
      <c r="F30" s="26"/>
      <c r="G30" s="26"/>
      <c r="H30" s="22" t="str">
        <f aca="false">IF('Trade Log'!K30="","",'Trade Log'!K30)</f>
        <v/>
      </c>
      <c r="I30" s="26"/>
      <c r="J30" s="26"/>
    </row>
    <row r="31" customFormat="false" ht="15" hidden="false" customHeight="false" outlineLevel="0" collapsed="false">
      <c r="A31" s="22" t="str">
        <f aca="false">IF('Trade Log'!A31="","",'Trade Log'!A31)</f>
        <v/>
      </c>
      <c r="B31" s="22" t="str">
        <f aca="false">IF('Trade Log'!B31="","",'Trade Log'!B31)</f>
        <v/>
      </c>
      <c r="C31" s="22" t="str">
        <f aca="false">IF('Trade Log'!C31="","",'Trade Log'!C31)</f>
        <v/>
      </c>
      <c r="D31" s="22" t="str">
        <f aca="false">IF('Trade Log'!J31="","",'Trade Log'!J31)</f>
        <v/>
      </c>
      <c r="E31" s="21" t="str">
        <f aca="false">IF('Trade Log'!I31="","",'Trade Log'!I31)</f>
        <v/>
      </c>
      <c r="F31" s="23"/>
      <c r="G31" s="23"/>
      <c r="H31" s="22" t="str">
        <f aca="false">IF('Trade Log'!K31="","",'Trade Log'!K31)</f>
        <v/>
      </c>
      <c r="I31" s="23"/>
      <c r="J31" s="23"/>
    </row>
    <row r="32" customFormat="false" ht="15" hidden="false" customHeight="false" outlineLevel="0" collapsed="false">
      <c r="A32" s="22" t="str">
        <f aca="false">IF('Trade Log'!A32="","",'Trade Log'!A32)</f>
        <v/>
      </c>
      <c r="B32" s="22" t="str">
        <f aca="false">IF('Trade Log'!B32="","",'Trade Log'!B32)</f>
        <v/>
      </c>
      <c r="C32" s="22" t="str">
        <f aca="false">IF('Trade Log'!C32="","",'Trade Log'!C32)</f>
        <v/>
      </c>
      <c r="D32" s="22" t="str">
        <f aca="false">IF('Trade Log'!J32="","",'Trade Log'!J32)</f>
        <v/>
      </c>
      <c r="E32" s="21" t="str">
        <f aca="false">IF('Trade Log'!I32="","",'Trade Log'!I32)</f>
        <v/>
      </c>
      <c r="F32" s="26"/>
      <c r="G32" s="26"/>
      <c r="H32" s="22" t="str">
        <f aca="false">IF('Trade Log'!K32="","",'Trade Log'!K32)</f>
        <v/>
      </c>
      <c r="I32" s="26"/>
      <c r="J32" s="26"/>
    </row>
    <row r="33" customFormat="false" ht="15" hidden="false" customHeight="false" outlineLevel="0" collapsed="false">
      <c r="A33" s="22" t="str">
        <f aca="false">IF('Trade Log'!A33="","",'Trade Log'!A33)</f>
        <v/>
      </c>
      <c r="B33" s="22" t="str">
        <f aca="false">IF('Trade Log'!B33="","",'Trade Log'!B33)</f>
        <v/>
      </c>
      <c r="C33" s="22" t="str">
        <f aca="false">IF('Trade Log'!C33="","",'Trade Log'!C33)</f>
        <v/>
      </c>
      <c r="D33" s="22" t="str">
        <f aca="false">IF('Trade Log'!J33="","",'Trade Log'!J33)</f>
        <v/>
      </c>
      <c r="E33" s="21" t="str">
        <f aca="false">IF('Trade Log'!I33="","",'Trade Log'!I33)</f>
        <v/>
      </c>
      <c r="F33" s="23"/>
      <c r="G33" s="23"/>
      <c r="H33" s="22" t="str">
        <f aca="false">IF('Trade Log'!K33="","",'Trade Log'!K33)</f>
        <v/>
      </c>
      <c r="I33" s="23"/>
      <c r="J33" s="23"/>
    </row>
    <row r="34" customFormat="false" ht="15" hidden="false" customHeight="false" outlineLevel="0" collapsed="false">
      <c r="A34" s="22" t="str">
        <f aca="false">IF('Trade Log'!A34="","",'Trade Log'!A34)</f>
        <v/>
      </c>
      <c r="B34" s="22" t="str">
        <f aca="false">IF('Trade Log'!B34="","",'Trade Log'!B34)</f>
        <v/>
      </c>
      <c r="C34" s="22" t="str">
        <f aca="false">IF('Trade Log'!C34="","",'Trade Log'!C34)</f>
        <v/>
      </c>
      <c r="D34" s="22" t="str">
        <f aca="false">IF('Trade Log'!J34="","",'Trade Log'!J34)</f>
        <v/>
      </c>
      <c r="E34" s="21" t="str">
        <f aca="false">IF('Trade Log'!I34="","",'Trade Log'!I34)</f>
        <v/>
      </c>
      <c r="F34" s="26"/>
      <c r="G34" s="26"/>
      <c r="H34" s="22" t="str">
        <f aca="false">IF('Trade Log'!K34="","",'Trade Log'!K34)</f>
        <v/>
      </c>
      <c r="I34" s="26"/>
      <c r="J34" s="26"/>
    </row>
    <row r="35" customFormat="false" ht="15" hidden="false" customHeight="false" outlineLevel="0" collapsed="false">
      <c r="A35" s="22" t="str">
        <f aca="false">IF('Trade Log'!A35="","",'Trade Log'!A35)</f>
        <v/>
      </c>
      <c r="B35" s="22" t="str">
        <f aca="false">IF('Trade Log'!B35="","",'Trade Log'!B35)</f>
        <v/>
      </c>
      <c r="C35" s="22" t="str">
        <f aca="false">IF('Trade Log'!C35="","",'Trade Log'!C35)</f>
        <v/>
      </c>
      <c r="D35" s="22" t="str">
        <f aca="false">IF('Trade Log'!J35="","",'Trade Log'!J35)</f>
        <v/>
      </c>
      <c r="E35" s="21" t="str">
        <f aca="false">IF('Trade Log'!I35="","",'Trade Log'!I35)</f>
        <v/>
      </c>
      <c r="F35" s="23"/>
      <c r="G35" s="23"/>
      <c r="H35" s="22" t="str">
        <f aca="false">IF('Trade Log'!K35="","",'Trade Log'!K35)</f>
        <v/>
      </c>
      <c r="I35" s="23"/>
      <c r="J35" s="23"/>
    </row>
    <row r="36" customFormat="false" ht="15" hidden="false" customHeight="false" outlineLevel="0" collapsed="false">
      <c r="A36" s="22" t="str">
        <f aca="false">IF('Trade Log'!A36="","",'Trade Log'!A36)</f>
        <v/>
      </c>
      <c r="B36" s="22" t="str">
        <f aca="false">IF('Trade Log'!B36="","",'Trade Log'!B36)</f>
        <v/>
      </c>
      <c r="C36" s="22" t="str">
        <f aca="false">IF('Trade Log'!C36="","",'Trade Log'!C36)</f>
        <v/>
      </c>
      <c r="D36" s="22" t="str">
        <f aca="false">IF('Trade Log'!J36="","",'Trade Log'!J36)</f>
        <v/>
      </c>
      <c r="E36" s="21" t="str">
        <f aca="false">IF('Trade Log'!I36="","",'Trade Log'!I36)</f>
        <v/>
      </c>
      <c r="F36" s="26"/>
      <c r="G36" s="26"/>
      <c r="H36" s="22" t="str">
        <f aca="false">IF('Trade Log'!K36="","",'Trade Log'!K36)</f>
        <v/>
      </c>
      <c r="I36" s="26"/>
      <c r="J36" s="26"/>
    </row>
    <row r="37" customFormat="false" ht="15" hidden="false" customHeight="false" outlineLevel="0" collapsed="false">
      <c r="A37" s="22" t="str">
        <f aca="false">IF('Trade Log'!A37="","",'Trade Log'!A37)</f>
        <v/>
      </c>
      <c r="B37" s="22" t="str">
        <f aca="false">IF('Trade Log'!B37="","",'Trade Log'!B37)</f>
        <v/>
      </c>
      <c r="C37" s="22" t="str">
        <f aca="false">IF('Trade Log'!C37="","",'Trade Log'!C37)</f>
        <v/>
      </c>
      <c r="D37" s="22" t="str">
        <f aca="false">IF('Trade Log'!J37="","",'Trade Log'!J37)</f>
        <v/>
      </c>
      <c r="E37" s="21" t="str">
        <f aca="false">IF('Trade Log'!I37="","",'Trade Log'!I37)</f>
        <v/>
      </c>
      <c r="F37" s="23"/>
      <c r="G37" s="23"/>
      <c r="H37" s="22" t="str">
        <f aca="false">IF('Trade Log'!K37="","",'Trade Log'!K37)</f>
        <v/>
      </c>
      <c r="I37" s="23"/>
      <c r="J37" s="23"/>
    </row>
    <row r="38" customFormat="false" ht="15" hidden="false" customHeight="false" outlineLevel="0" collapsed="false">
      <c r="A38" s="22" t="str">
        <f aca="false">IF('Trade Log'!A38="","",'Trade Log'!A38)</f>
        <v/>
      </c>
      <c r="B38" s="22" t="str">
        <f aca="false">IF('Trade Log'!B38="","",'Trade Log'!B38)</f>
        <v/>
      </c>
      <c r="C38" s="22" t="str">
        <f aca="false">IF('Trade Log'!C38="","",'Trade Log'!C38)</f>
        <v/>
      </c>
      <c r="D38" s="22" t="str">
        <f aca="false">IF('Trade Log'!J38="","",'Trade Log'!J38)</f>
        <v/>
      </c>
      <c r="E38" s="21" t="str">
        <f aca="false">IF('Trade Log'!I38="","",'Trade Log'!I38)</f>
        <v/>
      </c>
      <c r="F38" s="26"/>
      <c r="G38" s="26"/>
      <c r="H38" s="22" t="str">
        <f aca="false">IF('Trade Log'!K38="","",'Trade Log'!K38)</f>
        <v/>
      </c>
      <c r="I38" s="26"/>
      <c r="J38" s="26"/>
    </row>
    <row r="39" customFormat="false" ht="15" hidden="false" customHeight="false" outlineLevel="0" collapsed="false">
      <c r="A39" s="22" t="str">
        <f aca="false">IF('Trade Log'!A39="","",'Trade Log'!A39)</f>
        <v/>
      </c>
      <c r="B39" s="22" t="str">
        <f aca="false">IF('Trade Log'!B39="","",'Trade Log'!B39)</f>
        <v/>
      </c>
      <c r="C39" s="22" t="str">
        <f aca="false">IF('Trade Log'!C39="","",'Trade Log'!C39)</f>
        <v/>
      </c>
      <c r="D39" s="22" t="str">
        <f aca="false">IF('Trade Log'!J39="","",'Trade Log'!J39)</f>
        <v/>
      </c>
      <c r="E39" s="21" t="str">
        <f aca="false">IF('Trade Log'!I39="","",'Trade Log'!I39)</f>
        <v/>
      </c>
      <c r="F39" s="23"/>
      <c r="G39" s="23"/>
      <c r="H39" s="22" t="str">
        <f aca="false">IF('Trade Log'!K39="","",'Trade Log'!K39)</f>
        <v/>
      </c>
      <c r="I39" s="23"/>
      <c r="J39" s="23"/>
    </row>
    <row r="40" customFormat="false" ht="15" hidden="false" customHeight="false" outlineLevel="0" collapsed="false">
      <c r="A40" s="22" t="str">
        <f aca="false">IF('Trade Log'!A40="","",'Trade Log'!A40)</f>
        <v/>
      </c>
      <c r="B40" s="22" t="str">
        <f aca="false">IF('Trade Log'!B40="","",'Trade Log'!B40)</f>
        <v/>
      </c>
      <c r="C40" s="22" t="str">
        <f aca="false">IF('Trade Log'!C40="","",'Trade Log'!C40)</f>
        <v/>
      </c>
      <c r="D40" s="22" t="str">
        <f aca="false">IF('Trade Log'!J40="","",'Trade Log'!J40)</f>
        <v/>
      </c>
      <c r="E40" s="21" t="str">
        <f aca="false">IF('Trade Log'!I40="","",'Trade Log'!I40)</f>
        <v/>
      </c>
      <c r="F40" s="26"/>
      <c r="G40" s="26"/>
      <c r="H40" s="22" t="str">
        <f aca="false">IF('Trade Log'!K40="","",'Trade Log'!K40)</f>
        <v/>
      </c>
      <c r="I40" s="26"/>
      <c r="J40" s="26"/>
    </row>
    <row r="41" customFormat="false" ht="15" hidden="false" customHeight="false" outlineLevel="0" collapsed="false">
      <c r="A41" s="22" t="str">
        <f aca="false">IF('Trade Log'!A41="","",'Trade Log'!A41)</f>
        <v/>
      </c>
      <c r="B41" s="22" t="str">
        <f aca="false">IF('Trade Log'!B41="","",'Trade Log'!B41)</f>
        <v/>
      </c>
      <c r="C41" s="22" t="str">
        <f aca="false">IF('Trade Log'!C41="","",'Trade Log'!C41)</f>
        <v/>
      </c>
      <c r="D41" s="22" t="str">
        <f aca="false">IF('Trade Log'!J41="","",'Trade Log'!J41)</f>
        <v/>
      </c>
      <c r="E41" s="21" t="str">
        <f aca="false">IF('Trade Log'!I41="","",'Trade Log'!I41)</f>
        <v/>
      </c>
      <c r="F41" s="23"/>
      <c r="G41" s="23"/>
      <c r="H41" s="22" t="str">
        <f aca="false">IF('Trade Log'!K41="","",'Trade Log'!K41)</f>
        <v/>
      </c>
      <c r="I41" s="23"/>
      <c r="J41" s="23"/>
    </row>
    <row r="42" customFormat="false" ht="15" hidden="false" customHeight="false" outlineLevel="0" collapsed="false">
      <c r="A42" s="22" t="str">
        <f aca="false">IF('Trade Log'!A42="","",'Trade Log'!A42)</f>
        <v/>
      </c>
      <c r="B42" s="22" t="str">
        <f aca="false">IF('Trade Log'!B42="","",'Trade Log'!B42)</f>
        <v/>
      </c>
      <c r="C42" s="22" t="str">
        <f aca="false">IF('Trade Log'!C42="","",'Trade Log'!C42)</f>
        <v/>
      </c>
      <c r="D42" s="22" t="str">
        <f aca="false">IF('Trade Log'!J42="","",'Trade Log'!J42)</f>
        <v/>
      </c>
      <c r="E42" s="21" t="str">
        <f aca="false">IF('Trade Log'!I42="","",'Trade Log'!I42)</f>
        <v/>
      </c>
      <c r="F42" s="26"/>
      <c r="G42" s="26"/>
      <c r="H42" s="22" t="str">
        <f aca="false">IF('Trade Log'!K42="","",'Trade Log'!K42)</f>
        <v/>
      </c>
      <c r="I42" s="26"/>
      <c r="J42" s="26"/>
    </row>
    <row r="43" customFormat="false" ht="15" hidden="false" customHeight="false" outlineLevel="0" collapsed="false">
      <c r="A43" s="22" t="str">
        <f aca="false">IF('Trade Log'!A43="","",'Trade Log'!A43)</f>
        <v/>
      </c>
      <c r="B43" s="22" t="str">
        <f aca="false">IF('Trade Log'!B43="","",'Trade Log'!B43)</f>
        <v/>
      </c>
      <c r="C43" s="22" t="str">
        <f aca="false">IF('Trade Log'!C43="","",'Trade Log'!C43)</f>
        <v/>
      </c>
      <c r="D43" s="22" t="str">
        <f aca="false">IF('Trade Log'!J43="","",'Trade Log'!J43)</f>
        <v/>
      </c>
      <c r="E43" s="21" t="str">
        <f aca="false">IF('Trade Log'!I43="","",'Trade Log'!I43)</f>
        <v/>
      </c>
      <c r="F43" s="23"/>
      <c r="G43" s="23"/>
      <c r="H43" s="22" t="str">
        <f aca="false">IF('Trade Log'!K43="","",'Trade Log'!K43)</f>
        <v/>
      </c>
      <c r="I43" s="23"/>
      <c r="J43" s="23"/>
    </row>
    <row r="44" customFormat="false" ht="15" hidden="false" customHeight="false" outlineLevel="0" collapsed="false">
      <c r="A44" s="22" t="str">
        <f aca="false">IF('Trade Log'!A44="","",'Trade Log'!A44)</f>
        <v/>
      </c>
      <c r="B44" s="22" t="str">
        <f aca="false">IF('Trade Log'!B44="","",'Trade Log'!B44)</f>
        <v/>
      </c>
      <c r="C44" s="22" t="str">
        <f aca="false">IF('Trade Log'!C44="","",'Trade Log'!C44)</f>
        <v/>
      </c>
      <c r="D44" s="22" t="str">
        <f aca="false">IF('Trade Log'!J44="","",'Trade Log'!J44)</f>
        <v/>
      </c>
      <c r="E44" s="21" t="str">
        <f aca="false">IF('Trade Log'!I44="","",'Trade Log'!I44)</f>
        <v/>
      </c>
      <c r="F44" s="26"/>
      <c r="G44" s="26"/>
      <c r="H44" s="22" t="str">
        <f aca="false">IF('Trade Log'!K44="","",'Trade Log'!K44)</f>
        <v/>
      </c>
      <c r="I44" s="26"/>
      <c r="J44" s="26"/>
    </row>
    <row r="45" customFormat="false" ht="15" hidden="false" customHeight="false" outlineLevel="0" collapsed="false">
      <c r="A45" s="22" t="str">
        <f aca="false">IF('Trade Log'!A45="","",'Trade Log'!A45)</f>
        <v/>
      </c>
      <c r="B45" s="22" t="str">
        <f aca="false">IF('Trade Log'!B45="","",'Trade Log'!B45)</f>
        <v/>
      </c>
      <c r="C45" s="22" t="str">
        <f aca="false">IF('Trade Log'!C45="","",'Trade Log'!C45)</f>
        <v/>
      </c>
      <c r="D45" s="22" t="str">
        <f aca="false">IF('Trade Log'!J45="","",'Trade Log'!J45)</f>
        <v/>
      </c>
      <c r="E45" s="21" t="str">
        <f aca="false">IF('Trade Log'!I45="","",'Trade Log'!I45)</f>
        <v/>
      </c>
      <c r="F45" s="23"/>
      <c r="G45" s="23"/>
      <c r="H45" s="22" t="str">
        <f aca="false">IF('Trade Log'!K45="","",'Trade Log'!K45)</f>
        <v/>
      </c>
      <c r="I45" s="23"/>
      <c r="J45" s="23"/>
    </row>
    <row r="46" customFormat="false" ht="15" hidden="false" customHeight="false" outlineLevel="0" collapsed="false">
      <c r="A46" s="22" t="str">
        <f aca="false">IF('Trade Log'!A46="","",'Trade Log'!A46)</f>
        <v/>
      </c>
      <c r="B46" s="22" t="str">
        <f aca="false">IF('Trade Log'!B46="","",'Trade Log'!B46)</f>
        <v/>
      </c>
      <c r="C46" s="22" t="str">
        <f aca="false">IF('Trade Log'!C46="","",'Trade Log'!C46)</f>
        <v/>
      </c>
      <c r="D46" s="22" t="str">
        <f aca="false">IF('Trade Log'!J46="","",'Trade Log'!J46)</f>
        <v/>
      </c>
      <c r="E46" s="21" t="str">
        <f aca="false">IF('Trade Log'!I46="","",'Trade Log'!I46)</f>
        <v/>
      </c>
      <c r="F46" s="26"/>
      <c r="G46" s="26"/>
      <c r="H46" s="22" t="str">
        <f aca="false">IF('Trade Log'!K46="","",'Trade Log'!K46)</f>
        <v/>
      </c>
      <c r="I46" s="26"/>
      <c r="J46" s="26"/>
    </row>
    <row r="47" customFormat="false" ht="15" hidden="false" customHeight="false" outlineLevel="0" collapsed="false">
      <c r="A47" s="22" t="str">
        <f aca="false">IF('Trade Log'!A47="","",'Trade Log'!A47)</f>
        <v/>
      </c>
      <c r="B47" s="22" t="str">
        <f aca="false">IF('Trade Log'!B47="","",'Trade Log'!B47)</f>
        <v/>
      </c>
      <c r="C47" s="22" t="str">
        <f aca="false">IF('Trade Log'!C47="","",'Trade Log'!C47)</f>
        <v/>
      </c>
      <c r="D47" s="22" t="str">
        <f aca="false">IF('Trade Log'!J47="","",'Trade Log'!J47)</f>
        <v/>
      </c>
      <c r="E47" s="21" t="str">
        <f aca="false">IF('Trade Log'!I47="","",'Trade Log'!I47)</f>
        <v/>
      </c>
      <c r="F47" s="23"/>
      <c r="G47" s="23"/>
      <c r="H47" s="22" t="str">
        <f aca="false">IF('Trade Log'!K47="","",'Trade Log'!K47)</f>
        <v/>
      </c>
      <c r="I47" s="23"/>
      <c r="J47" s="23"/>
    </row>
    <row r="48" customFormat="false" ht="15" hidden="false" customHeight="false" outlineLevel="0" collapsed="false">
      <c r="A48" s="22" t="str">
        <f aca="false">IF('Trade Log'!A48="","",'Trade Log'!A48)</f>
        <v/>
      </c>
      <c r="B48" s="22" t="str">
        <f aca="false">IF('Trade Log'!B48="","",'Trade Log'!B48)</f>
        <v/>
      </c>
      <c r="C48" s="22" t="str">
        <f aca="false">IF('Trade Log'!C48="","",'Trade Log'!C48)</f>
        <v/>
      </c>
      <c r="D48" s="22" t="str">
        <f aca="false">IF('Trade Log'!J48="","",'Trade Log'!J48)</f>
        <v/>
      </c>
      <c r="E48" s="21" t="str">
        <f aca="false">IF('Trade Log'!I48="","",'Trade Log'!I48)</f>
        <v/>
      </c>
      <c r="F48" s="26"/>
      <c r="G48" s="26"/>
      <c r="H48" s="22" t="str">
        <f aca="false">IF('Trade Log'!K48="","",'Trade Log'!K48)</f>
        <v/>
      </c>
      <c r="I48" s="26"/>
      <c r="J48" s="26"/>
    </row>
    <row r="49" customFormat="false" ht="15" hidden="false" customHeight="false" outlineLevel="0" collapsed="false">
      <c r="A49" s="22" t="str">
        <f aca="false">IF('Trade Log'!A49="","",'Trade Log'!A49)</f>
        <v/>
      </c>
      <c r="B49" s="22" t="str">
        <f aca="false">IF('Trade Log'!B49="","",'Trade Log'!B49)</f>
        <v/>
      </c>
      <c r="C49" s="22" t="str">
        <f aca="false">IF('Trade Log'!C49="","",'Trade Log'!C49)</f>
        <v/>
      </c>
      <c r="D49" s="22" t="str">
        <f aca="false">IF('Trade Log'!J49="","",'Trade Log'!J49)</f>
        <v/>
      </c>
      <c r="E49" s="21" t="str">
        <f aca="false">IF('Trade Log'!I49="","",'Trade Log'!I49)</f>
        <v/>
      </c>
      <c r="F49" s="23"/>
      <c r="G49" s="23"/>
      <c r="H49" s="22" t="str">
        <f aca="false">IF('Trade Log'!K49="","",'Trade Log'!K49)</f>
        <v/>
      </c>
      <c r="I49" s="23"/>
      <c r="J49" s="23"/>
    </row>
    <row r="50" customFormat="false" ht="15" hidden="false" customHeight="false" outlineLevel="0" collapsed="false">
      <c r="A50" s="22" t="str">
        <f aca="false">IF('Trade Log'!A50="","",'Trade Log'!A50)</f>
        <v/>
      </c>
      <c r="B50" s="22" t="str">
        <f aca="false">IF('Trade Log'!B50="","",'Trade Log'!B50)</f>
        <v/>
      </c>
      <c r="C50" s="22" t="str">
        <f aca="false">IF('Trade Log'!C50="","",'Trade Log'!C50)</f>
        <v/>
      </c>
      <c r="D50" s="22" t="str">
        <f aca="false">IF('Trade Log'!J50="","",'Trade Log'!J50)</f>
        <v/>
      </c>
      <c r="E50" s="21" t="str">
        <f aca="false">IF('Trade Log'!I50="","",'Trade Log'!I50)</f>
        <v/>
      </c>
      <c r="F50" s="26"/>
      <c r="G50" s="26"/>
      <c r="H50" s="22" t="str">
        <f aca="false">IF('Trade Log'!K50="","",'Trade Log'!K50)</f>
        <v/>
      </c>
      <c r="I50" s="26"/>
      <c r="J50" s="26"/>
    </row>
    <row r="51" customFormat="false" ht="15" hidden="false" customHeight="false" outlineLevel="0" collapsed="false">
      <c r="A51" s="22" t="str">
        <f aca="false">IF('Trade Log'!A51="","",'Trade Log'!A51)</f>
        <v/>
      </c>
      <c r="B51" s="22" t="str">
        <f aca="false">IF('Trade Log'!B51="","",'Trade Log'!B51)</f>
        <v/>
      </c>
      <c r="C51" s="22" t="str">
        <f aca="false">IF('Trade Log'!C51="","",'Trade Log'!C51)</f>
        <v/>
      </c>
      <c r="D51" s="22" t="str">
        <f aca="false">IF('Trade Log'!J51="","",'Trade Log'!J51)</f>
        <v/>
      </c>
      <c r="E51" s="21" t="str">
        <f aca="false">IF('Trade Log'!I51="","",'Trade Log'!I51)</f>
        <v/>
      </c>
      <c r="F51" s="23"/>
      <c r="G51" s="23"/>
      <c r="H51" s="22" t="str">
        <f aca="false">IF('Trade Log'!K51="","",'Trade Log'!K51)</f>
        <v/>
      </c>
      <c r="I51" s="23"/>
      <c r="J51" s="23"/>
    </row>
    <row r="52" customFormat="false" ht="15" hidden="false" customHeight="false" outlineLevel="0" collapsed="false">
      <c r="A52" s="22" t="str">
        <f aca="false">IF('Trade Log'!A52="","",'Trade Log'!A52)</f>
        <v/>
      </c>
      <c r="B52" s="22" t="str">
        <f aca="false">IF('Trade Log'!B52="","",'Trade Log'!B52)</f>
        <v/>
      </c>
      <c r="C52" s="22" t="str">
        <f aca="false">IF('Trade Log'!C52="","",'Trade Log'!C52)</f>
        <v/>
      </c>
      <c r="D52" s="22" t="str">
        <f aca="false">IF('Trade Log'!J52="","",'Trade Log'!J52)</f>
        <v/>
      </c>
      <c r="E52" s="21" t="str">
        <f aca="false">IF('Trade Log'!I52="","",'Trade Log'!I52)</f>
        <v/>
      </c>
      <c r="F52" s="26"/>
      <c r="G52" s="26"/>
      <c r="H52" s="22" t="str">
        <f aca="false">IF('Trade Log'!K52="","",'Trade Log'!K52)</f>
        <v/>
      </c>
      <c r="I52" s="26"/>
      <c r="J52" s="26"/>
    </row>
    <row r="53" customFormat="false" ht="15" hidden="false" customHeight="false" outlineLevel="0" collapsed="false">
      <c r="A53" s="22" t="str">
        <f aca="false">IF('Trade Log'!A53="","",'Trade Log'!A53)</f>
        <v/>
      </c>
      <c r="B53" s="22" t="str">
        <f aca="false">IF('Trade Log'!B53="","",'Trade Log'!B53)</f>
        <v/>
      </c>
      <c r="C53" s="22" t="str">
        <f aca="false">IF('Trade Log'!C53="","",'Trade Log'!C53)</f>
        <v/>
      </c>
      <c r="D53" s="22" t="str">
        <f aca="false">IF('Trade Log'!J53="","",'Trade Log'!J53)</f>
        <v/>
      </c>
      <c r="E53" s="21" t="str">
        <f aca="false">IF('Trade Log'!I53="","",'Trade Log'!I53)</f>
        <v/>
      </c>
      <c r="F53" s="23"/>
      <c r="G53" s="23"/>
      <c r="H53" s="22" t="str">
        <f aca="false">IF('Trade Log'!K53="","",'Trade Log'!K53)</f>
        <v/>
      </c>
      <c r="I53" s="23"/>
      <c r="J53" s="23"/>
    </row>
    <row r="54" customFormat="false" ht="15" hidden="false" customHeight="false" outlineLevel="0" collapsed="false">
      <c r="A54" s="22" t="str">
        <f aca="false">IF('Trade Log'!A54="","",'Trade Log'!A54)</f>
        <v/>
      </c>
      <c r="B54" s="22" t="str">
        <f aca="false">IF('Trade Log'!B54="","",'Trade Log'!B54)</f>
        <v/>
      </c>
      <c r="C54" s="22" t="str">
        <f aca="false">IF('Trade Log'!C54="","",'Trade Log'!C54)</f>
        <v/>
      </c>
      <c r="D54" s="22" t="str">
        <f aca="false">IF('Trade Log'!J54="","",'Trade Log'!J54)</f>
        <v/>
      </c>
      <c r="E54" s="21" t="str">
        <f aca="false">IF('Trade Log'!I54="","",'Trade Log'!I54)</f>
        <v/>
      </c>
      <c r="F54" s="26"/>
      <c r="G54" s="26"/>
      <c r="H54" s="22" t="str">
        <f aca="false">IF('Trade Log'!K54="","",'Trade Log'!K54)</f>
        <v/>
      </c>
      <c r="I54" s="26"/>
      <c r="J54" s="26"/>
    </row>
    <row r="55" customFormat="false" ht="15" hidden="false" customHeight="false" outlineLevel="0" collapsed="false">
      <c r="A55" s="22" t="str">
        <f aca="false">IF('Trade Log'!A55="","",'Trade Log'!A55)</f>
        <v/>
      </c>
      <c r="B55" s="22" t="str">
        <f aca="false">IF('Trade Log'!B55="","",'Trade Log'!B55)</f>
        <v/>
      </c>
      <c r="C55" s="22" t="str">
        <f aca="false">IF('Trade Log'!C55="","",'Trade Log'!C55)</f>
        <v/>
      </c>
      <c r="D55" s="22" t="str">
        <f aca="false">IF('Trade Log'!J55="","",'Trade Log'!J55)</f>
        <v/>
      </c>
      <c r="E55" s="21" t="str">
        <f aca="false">IF('Trade Log'!I55="","",'Trade Log'!I55)</f>
        <v/>
      </c>
      <c r="F55" s="23"/>
      <c r="G55" s="23"/>
      <c r="H55" s="22" t="str">
        <f aca="false">IF('Trade Log'!K55="","",'Trade Log'!K55)</f>
        <v/>
      </c>
      <c r="I55" s="23"/>
      <c r="J55" s="23"/>
    </row>
    <row r="56" customFormat="false" ht="15" hidden="false" customHeight="false" outlineLevel="0" collapsed="false">
      <c r="A56" s="22" t="str">
        <f aca="false">IF('Trade Log'!A56="","",'Trade Log'!A56)</f>
        <v/>
      </c>
      <c r="B56" s="22" t="str">
        <f aca="false">IF('Trade Log'!B56="","",'Trade Log'!B56)</f>
        <v/>
      </c>
      <c r="C56" s="22" t="str">
        <f aca="false">IF('Trade Log'!C56="","",'Trade Log'!C56)</f>
        <v/>
      </c>
      <c r="D56" s="22" t="str">
        <f aca="false">IF('Trade Log'!J56="","",'Trade Log'!J56)</f>
        <v/>
      </c>
      <c r="E56" s="21" t="str">
        <f aca="false">IF('Trade Log'!I56="","",'Trade Log'!I56)</f>
        <v/>
      </c>
      <c r="F56" s="26"/>
      <c r="G56" s="26"/>
      <c r="H56" s="22" t="str">
        <f aca="false">IF('Trade Log'!K56="","",'Trade Log'!K56)</f>
        <v/>
      </c>
      <c r="I56" s="26"/>
      <c r="J56" s="26"/>
    </row>
    <row r="57" customFormat="false" ht="15" hidden="false" customHeight="false" outlineLevel="0" collapsed="false">
      <c r="A57" s="22" t="str">
        <f aca="false">IF('Trade Log'!A57="","",'Trade Log'!A57)</f>
        <v/>
      </c>
      <c r="B57" s="22" t="str">
        <f aca="false">IF('Trade Log'!B57="","",'Trade Log'!B57)</f>
        <v/>
      </c>
      <c r="C57" s="22" t="str">
        <f aca="false">IF('Trade Log'!C57="","",'Trade Log'!C57)</f>
        <v/>
      </c>
      <c r="D57" s="22" t="str">
        <f aca="false">IF('Trade Log'!J57="","",'Trade Log'!J57)</f>
        <v/>
      </c>
      <c r="E57" s="21" t="str">
        <f aca="false">IF('Trade Log'!I57="","",'Trade Log'!I57)</f>
        <v/>
      </c>
      <c r="F57" s="23"/>
      <c r="G57" s="23"/>
      <c r="H57" s="22" t="str">
        <f aca="false">IF('Trade Log'!K57="","",'Trade Log'!K57)</f>
        <v/>
      </c>
      <c r="I57" s="23"/>
      <c r="J57" s="23"/>
    </row>
    <row r="58" customFormat="false" ht="15" hidden="false" customHeight="false" outlineLevel="0" collapsed="false">
      <c r="A58" s="22" t="str">
        <f aca="false">IF('Trade Log'!A58="","",'Trade Log'!A58)</f>
        <v/>
      </c>
      <c r="B58" s="22" t="str">
        <f aca="false">IF('Trade Log'!B58="","",'Trade Log'!B58)</f>
        <v/>
      </c>
      <c r="C58" s="22" t="str">
        <f aca="false">IF('Trade Log'!C58="","",'Trade Log'!C58)</f>
        <v/>
      </c>
      <c r="D58" s="22" t="str">
        <f aca="false">IF('Trade Log'!J58="","",'Trade Log'!J58)</f>
        <v/>
      </c>
      <c r="E58" s="21" t="str">
        <f aca="false">IF('Trade Log'!I58="","",'Trade Log'!I58)</f>
        <v/>
      </c>
      <c r="F58" s="26"/>
      <c r="G58" s="26"/>
      <c r="H58" s="22" t="str">
        <f aca="false">IF('Trade Log'!K58="","",'Trade Log'!K58)</f>
        <v/>
      </c>
      <c r="I58" s="26"/>
      <c r="J58" s="26"/>
    </row>
    <row r="59" customFormat="false" ht="15" hidden="false" customHeight="false" outlineLevel="0" collapsed="false">
      <c r="A59" s="22" t="str">
        <f aca="false">IF('Trade Log'!A59="","",'Trade Log'!A59)</f>
        <v/>
      </c>
      <c r="B59" s="22" t="str">
        <f aca="false">IF('Trade Log'!B59="","",'Trade Log'!B59)</f>
        <v/>
      </c>
      <c r="C59" s="22" t="str">
        <f aca="false">IF('Trade Log'!C59="","",'Trade Log'!C59)</f>
        <v/>
      </c>
      <c r="D59" s="22" t="str">
        <f aca="false">IF('Trade Log'!J59="","",'Trade Log'!J59)</f>
        <v/>
      </c>
      <c r="E59" s="21" t="str">
        <f aca="false">IF('Trade Log'!I59="","",'Trade Log'!I59)</f>
        <v/>
      </c>
      <c r="F59" s="23"/>
      <c r="G59" s="23"/>
      <c r="H59" s="22" t="str">
        <f aca="false">IF('Trade Log'!K59="","",'Trade Log'!K59)</f>
        <v/>
      </c>
      <c r="I59" s="23"/>
      <c r="J59" s="23"/>
    </row>
    <row r="60" customFormat="false" ht="15" hidden="false" customHeight="false" outlineLevel="0" collapsed="false">
      <c r="A60" s="22" t="str">
        <f aca="false">IF('Trade Log'!A60="","",'Trade Log'!A60)</f>
        <v/>
      </c>
      <c r="B60" s="22" t="str">
        <f aca="false">IF('Trade Log'!B60="","",'Trade Log'!B60)</f>
        <v/>
      </c>
      <c r="C60" s="22" t="str">
        <f aca="false">IF('Trade Log'!C60="","",'Trade Log'!C60)</f>
        <v/>
      </c>
      <c r="D60" s="22" t="str">
        <f aca="false">IF('Trade Log'!J60="","",'Trade Log'!J60)</f>
        <v/>
      </c>
      <c r="E60" s="21" t="str">
        <f aca="false">IF('Trade Log'!I60="","",'Trade Log'!I60)</f>
        <v/>
      </c>
      <c r="F60" s="26"/>
      <c r="G60" s="26"/>
      <c r="H60" s="22" t="str">
        <f aca="false">IF('Trade Log'!K60="","",'Trade Log'!K60)</f>
        <v/>
      </c>
      <c r="I60" s="26"/>
      <c r="J60" s="26"/>
    </row>
    <row r="61" customFormat="false" ht="15" hidden="false" customHeight="false" outlineLevel="0" collapsed="false">
      <c r="A61" s="22" t="str">
        <f aca="false">IF('Trade Log'!A61="","",'Trade Log'!A61)</f>
        <v/>
      </c>
      <c r="B61" s="22" t="str">
        <f aca="false">IF('Trade Log'!B61="","",'Trade Log'!B61)</f>
        <v/>
      </c>
      <c r="C61" s="22" t="str">
        <f aca="false">IF('Trade Log'!C61="","",'Trade Log'!C61)</f>
        <v/>
      </c>
      <c r="D61" s="22" t="str">
        <f aca="false">IF('Trade Log'!J61="","",'Trade Log'!J61)</f>
        <v/>
      </c>
      <c r="E61" s="21" t="str">
        <f aca="false">IF('Trade Log'!I61="","",'Trade Log'!I61)</f>
        <v/>
      </c>
      <c r="F61" s="23"/>
      <c r="G61" s="23"/>
      <c r="H61" s="22" t="str">
        <f aca="false">IF('Trade Log'!K61="","",'Trade Log'!K61)</f>
        <v/>
      </c>
      <c r="I61" s="23"/>
      <c r="J61" s="23"/>
    </row>
    <row r="62" customFormat="false" ht="15" hidden="false" customHeight="false" outlineLevel="0" collapsed="false">
      <c r="A62" s="22" t="str">
        <f aca="false">IF('Trade Log'!A62="","",'Trade Log'!A62)</f>
        <v/>
      </c>
      <c r="B62" s="22" t="str">
        <f aca="false">IF('Trade Log'!B62="","",'Trade Log'!B62)</f>
        <v/>
      </c>
      <c r="C62" s="22" t="str">
        <f aca="false">IF('Trade Log'!C62="","",'Trade Log'!C62)</f>
        <v/>
      </c>
      <c r="D62" s="22" t="str">
        <f aca="false">IF('Trade Log'!J62="","",'Trade Log'!J62)</f>
        <v/>
      </c>
      <c r="E62" s="21" t="str">
        <f aca="false">IF('Trade Log'!I62="","",'Trade Log'!I62)</f>
        <v/>
      </c>
      <c r="F62" s="26"/>
      <c r="G62" s="26"/>
      <c r="H62" s="22" t="str">
        <f aca="false">IF('Trade Log'!K62="","",'Trade Log'!K62)</f>
        <v/>
      </c>
      <c r="I62" s="26"/>
      <c r="J62" s="26"/>
    </row>
    <row r="63" customFormat="false" ht="15" hidden="false" customHeight="false" outlineLevel="0" collapsed="false">
      <c r="A63" s="22" t="str">
        <f aca="false">IF('Trade Log'!A63="","",'Trade Log'!A63)</f>
        <v/>
      </c>
      <c r="B63" s="22" t="str">
        <f aca="false">IF('Trade Log'!B63="","",'Trade Log'!B63)</f>
        <v/>
      </c>
      <c r="C63" s="22" t="str">
        <f aca="false">IF('Trade Log'!C63="","",'Trade Log'!C63)</f>
        <v/>
      </c>
      <c r="D63" s="22" t="str">
        <f aca="false">IF('Trade Log'!J63="","",'Trade Log'!J63)</f>
        <v/>
      </c>
      <c r="E63" s="21" t="str">
        <f aca="false">IF('Trade Log'!I63="","",'Trade Log'!I63)</f>
        <v/>
      </c>
      <c r="F63" s="23"/>
      <c r="G63" s="23"/>
      <c r="H63" s="22" t="str">
        <f aca="false">IF('Trade Log'!K63="","",'Trade Log'!K63)</f>
        <v/>
      </c>
      <c r="I63" s="23"/>
      <c r="J63" s="23"/>
    </row>
    <row r="64" customFormat="false" ht="15" hidden="false" customHeight="false" outlineLevel="0" collapsed="false">
      <c r="A64" s="22" t="str">
        <f aca="false">IF('Trade Log'!A64="","",'Trade Log'!A64)</f>
        <v/>
      </c>
      <c r="B64" s="22" t="str">
        <f aca="false">IF('Trade Log'!B64="","",'Trade Log'!B64)</f>
        <v/>
      </c>
      <c r="C64" s="22" t="str">
        <f aca="false">IF('Trade Log'!C64="","",'Trade Log'!C64)</f>
        <v/>
      </c>
      <c r="D64" s="22" t="str">
        <f aca="false">IF('Trade Log'!J64="","",'Trade Log'!J64)</f>
        <v/>
      </c>
      <c r="E64" s="21" t="str">
        <f aca="false">IF('Trade Log'!I64="","",'Trade Log'!I64)</f>
        <v/>
      </c>
      <c r="F64" s="26"/>
      <c r="G64" s="26"/>
      <c r="H64" s="22" t="str">
        <f aca="false">IF('Trade Log'!K64="","",'Trade Log'!K64)</f>
        <v/>
      </c>
      <c r="I64" s="26"/>
      <c r="J64" s="26"/>
    </row>
    <row r="65" customFormat="false" ht="15" hidden="false" customHeight="false" outlineLevel="0" collapsed="false">
      <c r="A65" s="22" t="str">
        <f aca="false">IF('Trade Log'!A65="","",'Trade Log'!A65)</f>
        <v/>
      </c>
      <c r="B65" s="22" t="str">
        <f aca="false">IF('Trade Log'!B65="","",'Trade Log'!B65)</f>
        <v/>
      </c>
      <c r="C65" s="22" t="str">
        <f aca="false">IF('Trade Log'!C65="","",'Trade Log'!C65)</f>
        <v/>
      </c>
      <c r="D65" s="22" t="str">
        <f aca="false">IF('Trade Log'!J65="","",'Trade Log'!J65)</f>
        <v/>
      </c>
      <c r="E65" s="21" t="str">
        <f aca="false">IF('Trade Log'!I65="","",'Trade Log'!I65)</f>
        <v/>
      </c>
      <c r="F65" s="23"/>
      <c r="G65" s="23"/>
      <c r="H65" s="22" t="str">
        <f aca="false">IF('Trade Log'!K65="","",'Trade Log'!K65)</f>
        <v/>
      </c>
      <c r="I65" s="23"/>
      <c r="J65" s="23"/>
    </row>
    <row r="66" customFormat="false" ht="15" hidden="false" customHeight="false" outlineLevel="0" collapsed="false">
      <c r="A66" s="22" t="str">
        <f aca="false">IF('Trade Log'!A66="","",'Trade Log'!A66)</f>
        <v/>
      </c>
      <c r="B66" s="22" t="str">
        <f aca="false">IF('Trade Log'!B66="","",'Trade Log'!B66)</f>
        <v/>
      </c>
      <c r="C66" s="22" t="str">
        <f aca="false">IF('Trade Log'!C66="","",'Trade Log'!C66)</f>
        <v/>
      </c>
      <c r="D66" s="22" t="str">
        <f aca="false">IF('Trade Log'!J66="","",'Trade Log'!J66)</f>
        <v/>
      </c>
      <c r="E66" s="21" t="str">
        <f aca="false">IF('Trade Log'!I66="","",'Trade Log'!I66)</f>
        <v/>
      </c>
      <c r="F66" s="26"/>
      <c r="G66" s="26"/>
      <c r="H66" s="22" t="str">
        <f aca="false">IF('Trade Log'!K66="","",'Trade Log'!K66)</f>
        <v/>
      </c>
      <c r="I66" s="26"/>
      <c r="J66" s="26"/>
    </row>
    <row r="67" customFormat="false" ht="15" hidden="false" customHeight="false" outlineLevel="0" collapsed="false">
      <c r="A67" s="22" t="str">
        <f aca="false">IF('Trade Log'!A67="","",'Trade Log'!A67)</f>
        <v/>
      </c>
      <c r="B67" s="22" t="str">
        <f aca="false">IF('Trade Log'!B67="","",'Trade Log'!B67)</f>
        <v/>
      </c>
      <c r="C67" s="22" t="str">
        <f aca="false">IF('Trade Log'!C67="","",'Trade Log'!C67)</f>
        <v/>
      </c>
      <c r="D67" s="22" t="str">
        <f aca="false">IF('Trade Log'!J67="","",'Trade Log'!J67)</f>
        <v/>
      </c>
      <c r="E67" s="21" t="str">
        <f aca="false">IF('Trade Log'!I67="","",'Trade Log'!I67)</f>
        <v/>
      </c>
      <c r="F67" s="23"/>
      <c r="G67" s="23"/>
      <c r="H67" s="22" t="str">
        <f aca="false">IF('Trade Log'!K67="","",'Trade Log'!K67)</f>
        <v/>
      </c>
      <c r="I67" s="23"/>
      <c r="J67" s="23"/>
    </row>
    <row r="68" customFormat="false" ht="15" hidden="false" customHeight="false" outlineLevel="0" collapsed="false">
      <c r="A68" s="22" t="str">
        <f aca="false">IF('Trade Log'!A68="","",'Trade Log'!A68)</f>
        <v/>
      </c>
      <c r="B68" s="22" t="str">
        <f aca="false">IF('Trade Log'!B68="","",'Trade Log'!B68)</f>
        <v/>
      </c>
      <c r="C68" s="22" t="str">
        <f aca="false">IF('Trade Log'!C68="","",'Trade Log'!C68)</f>
        <v/>
      </c>
      <c r="D68" s="22" t="str">
        <f aca="false">IF('Trade Log'!J68="","",'Trade Log'!J68)</f>
        <v/>
      </c>
      <c r="E68" s="21" t="str">
        <f aca="false">IF('Trade Log'!I68="","",'Trade Log'!I68)</f>
        <v/>
      </c>
      <c r="F68" s="26"/>
      <c r="G68" s="26"/>
      <c r="H68" s="22" t="str">
        <f aca="false">IF('Trade Log'!K68="","",'Trade Log'!K68)</f>
        <v/>
      </c>
      <c r="I68" s="26"/>
      <c r="J68" s="26"/>
    </row>
    <row r="69" customFormat="false" ht="15" hidden="false" customHeight="false" outlineLevel="0" collapsed="false">
      <c r="A69" s="22" t="str">
        <f aca="false">IF('Trade Log'!A69="","",'Trade Log'!A69)</f>
        <v/>
      </c>
      <c r="B69" s="22" t="str">
        <f aca="false">IF('Trade Log'!B69="","",'Trade Log'!B69)</f>
        <v/>
      </c>
      <c r="C69" s="22" t="str">
        <f aca="false">IF('Trade Log'!C69="","",'Trade Log'!C69)</f>
        <v/>
      </c>
      <c r="D69" s="22" t="str">
        <f aca="false">IF('Trade Log'!J69="","",'Trade Log'!J69)</f>
        <v/>
      </c>
      <c r="E69" s="21" t="str">
        <f aca="false">IF('Trade Log'!I69="","",'Trade Log'!I69)</f>
        <v/>
      </c>
      <c r="F69" s="23"/>
      <c r="G69" s="23"/>
      <c r="H69" s="22" t="str">
        <f aca="false">IF('Trade Log'!K69="","",'Trade Log'!K69)</f>
        <v/>
      </c>
      <c r="I69" s="23"/>
      <c r="J69" s="23"/>
    </row>
    <row r="70" customFormat="false" ht="15" hidden="false" customHeight="false" outlineLevel="0" collapsed="false">
      <c r="A70" s="22" t="str">
        <f aca="false">IF('Trade Log'!A70="","",'Trade Log'!A70)</f>
        <v/>
      </c>
      <c r="B70" s="22" t="str">
        <f aca="false">IF('Trade Log'!B70="","",'Trade Log'!B70)</f>
        <v/>
      </c>
      <c r="C70" s="22" t="str">
        <f aca="false">IF('Trade Log'!C70="","",'Trade Log'!C70)</f>
        <v/>
      </c>
      <c r="D70" s="22" t="str">
        <f aca="false">IF('Trade Log'!J70="","",'Trade Log'!J70)</f>
        <v/>
      </c>
      <c r="E70" s="21" t="str">
        <f aca="false">IF('Trade Log'!I70="","",'Trade Log'!I70)</f>
        <v/>
      </c>
      <c r="F70" s="26"/>
      <c r="G70" s="26"/>
      <c r="H70" s="22" t="str">
        <f aca="false">IF('Trade Log'!K70="","",'Trade Log'!K70)</f>
        <v/>
      </c>
      <c r="I70" s="26"/>
      <c r="J70" s="26"/>
    </row>
    <row r="71" customFormat="false" ht="15" hidden="false" customHeight="false" outlineLevel="0" collapsed="false">
      <c r="A71" s="22" t="str">
        <f aca="false">IF('Trade Log'!A71="","",'Trade Log'!A71)</f>
        <v/>
      </c>
      <c r="B71" s="22" t="str">
        <f aca="false">IF('Trade Log'!B71="","",'Trade Log'!B71)</f>
        <v/>
      </c>
      <c r="C71" s="22" t="str">
        <f aca="false">IF('Trade Log'!C71="","",'Trade Log'!C71)</f>
        <v/>
      </c>
      <c r="D71" s="22" t="str">
        <f aca="false">IF('Trade Log'!J71="","",'Trade Log'!J71)</f>
        <v/>
      </c>
      <c r="E71" s="21" t="str">
        <f aca="false">IF('Trade Log'!I71="","",'Trade Log'!I71)</f>
        <v/>
      </c>
      <c r="F71" s="23"/>
      <c r="G71" s="23"/>
      <c r="H71" s="22" t="str">
        <f aca="false">IF('Trade Log'!K71="","",'Trade Log'!K71)</f>
        <v/>
      </c>
      <c r="I71" s="23"/>
      <c r="J71" s="23"/>
    </row>
    <row r="72" customFormat="false" ht="15" hidden="false" customHeight="false" outlineLevel="0" collapsed="false">
      <c r="A72" s="22" t="str">
        <f aca="false">IF('Trade Log'!A72="","",'Trade Log'!A72)</f>
        <v/>
      </c>
      <c r="B72" s="22" t="str">
        <f aca="false">IF('Trade Log'!B72="","",'Trade Log'!B72)</f>
        <v/>
      </c>
      <c r="C72" s="22" t="str">
        <f aca="false">IF('Trade Log'!C72="","",'Trade Log'!C72)</f>
        <v/>
      </c>
      <c r="D72" s="22" t="str">
        <f aca="false">IF('Trade Log'!J72="","",'Trade Log'!J72)</f>
        <v/>
      </c>
      <c r="E72" s="21" t="str">
        <f aca="false">IF('Trade Log'!I72="","",'Trade Log'!I72)</f>
        <v/>
      </c>
      <c r="F72" s="26"/>
      <c r="G72" s="26"/>
      <c r="H72" s="22" t="str">
        <f aca="false">IF('Trade Log'!K72="","",'Trade Log'!K72)</f>
        <v/>
      </c>
      <c r="I72" s="26"/>
      <c r="J72" s="26"/>
    </row>
    <row r="73" customFormat="false" ht="15" hidden="false" customHeight="false" outlineLevel="0" collapsed="false">
      <c r="A73" s="22" t="str">
        <f aca="false">IF('Trade Log'!A73="","",'Trade Log'!A73)</f>
        <v/>
      </c>
      <c r="B73" s="22" t="str">
        <f aca="false">IF('Trade Log'!B73="","",'Trade Log'!B73)</f>
        <v/>
      </c>
      <c r="C73" s="22" t="str">
        <f aca="false">IF('Trade Log'!C73="","",'Trade Log'!C73)</f>
        <v/>
      </c>
      <c r="D73" s="22" t="str">
        <f aca="false">IF('Trade Log'!J73="","",'Trade Log'!J73)</f>
        <v/>
      </c>
      <c r="E73" s="21" t="str">
        <f aca="false">IF('Trade Log'!I73="","",'Trade Log'!I73)</f>
        <v/>
      </c>
      <c r="F73" s="23"/>
      <c r="G73" s="23"/>
      <c r="H73" s="22" t="str">
        <f aca="false">IF('Trade Log'!K73="","",'Trade Log'!K73)</f>
        <v/>
      </c>
      <c r="I73" s="23"/>
      <c r="J73" s="23"/>
    </row>
    <row r="74" customFormat="false" ht="15" hidden="false" customHeight="false" outlineLevel="0" collapsed="false">
      <c r="A74" s="22" t="str">
        <f aca="false">IF('Trade Log'!A74="","",'Trade Log'!A74)</f>
        <v/>
      </c>
      <c r="B74" s="22" t="str">
        <f aca="false">IF('Trade Log'!B74="","",'Trade Log'!B74)</f>
        <v/>
      </c>
      <c r="C74" s="22" t="str">
        <f aca="false">IF('Trade Log'!C74="","",'Trade Log'!C74)</f>
        <v/>
      </c>
      <c r="D74" s="22" t="str">
        <f aca="false">IF('Trade Log'!J74="","",'Trade Log'!J74)</f>
        <v/>
      </c>
      <c r="E74" s="21" t="str">
        <f aca="false">IF('Trade Log'!I74="","",'Trade Log'!I74)</f>
        <v/>
      </c>
      <c r="F74" s="26"/>
      <c r="G74" s="26"/>
      <c r="H74" s="22" t="str">
        <f aca="false">IF('Trade Log'!K74="","",'Trade Log'!K74)</f>
        <v/>
      </c>
      <c r="I74" s="26"/>
      <c r="J74" s="26"/>
    </row>
    <row r="75" customFormat="false" ht="15" hidden="false" customHeight="false" outlineLevel="0" collapsed="false">
      <c r="A75" s="22" t="str">
        <f aca="false">IF('Trade Log'!A75="","",'Trade Log'!A75)</f>
        <v/>
      </c>
      <c r="B75" s="22" t="str">
        <f aca="false">IF('Trade Log'!B75="","",'Trade Log'!B75)</f>
        <v/>
      </c>
      <c r="C75" s="22" t="str">
        <f aca="false">IF('Trade Log'!C75="","",'Trade Log'!C75)</f>
        <v/>
      </c>
      <c r="D75" s="22" t="str">
        <f aca="false">IF('Trade Log'!J75="","",'Trade Log'!J75)</f>
        <v/>
      </c>
      <c r="E75" s="21" t="str">
        <f aca="false">IF('Trade Log'!I75="","",'Trade Log'!I75)</f>
        <v/>
      </c>
      <c r="F75" s="23"/>
      <c r="G75" s="23"/>
      <c r="H75" s="22" t="str">
        <f aca="false">IF('Trade Log'!K75="","",'Trade Log'!K75)</f>
        <v/>
      </c>
      <c r="I75" s="23"/>
      <c r="J75" s="23"/>
    </row>
    <row r="76" customFormat="false" ht="15" hidden="false" customHeight="false" outlineLevel="0" collapsed="false">
      <c r="A76" s="22" t="str">
        <f aca="false">IF('Trade Log'!A76="","",'Trade Log'!A76)</f>
        <v/>
      </c>
      <c r="B76" s="22" t="str">
        <f aca="false">IF('Trade Log'!B76="","",'Trade Log'!B76)</f>
        <v/>
      </c>
      <c r="C76" s="22" t="str">
        <f aca="false">IF('Trade Log'!C76="","",'Trade Log'!C76)</f>
        <v/>
      </c>
      <c r="D76" s="22" t="str">
        <f aca="false">IF('Trade Log'!J76="","",'Trade Log'!J76)</f>
        <v/>
      </c>
      <c r="E76" s="21" t="str">
        <f aca="false">IF('Trade Log'!I76="","",'Trade Log'!I76)</f>
        <v/>
      </c>
      <c r="F76" s="26"/>
      <c r="G76" s="26"/>
      <c r="H76" s="22" t="str">
        <f aca="false">IF('Trade Log'!K76="","",'Trade Log'!K76)</f>
        <v/>
      </c>
      <c r="I76" s="26"/>
      <c r="J76" s="26"/>
    </row>
    <row r="77" customFormat="false" ht="15" hidden="false" customHeight="false" outlineLevel="0" collapsed="false">
      <c r="A77" s="22" t="str">
        <f aca="false">IF('Trade Log'!A77="","",'Trade Log'!A77)</f>
        <v/>
      </c>
      <c r="B77" s="22" t="str">
        <f aca="false">IF('Trade Log'!B77="","",'Trade Log'!B77)</f>
        <v/>
      </c>
      <c r="C77" s="22" t="str">
        <f aca="false">IF('Trade Log'!C77="","",'Trade Log'!C77)</f>
        <v/>
      </c>
      <c r="D77" s="22" t="str">
        <f aca="false">IF('Trade Log'!J77="","",'Trade Log'!J77)</f>
        <v/>
      </c>
      <c r="E77" s="21" t="str">
        <f aca="false">IF('Trade Log'!I77="","",'Trade Log'!I77)</f>
        <v/>
      </c>
      <c r="F77" s="23"/>
      <c r="G77" s="23"/>
      <c r="H77" s="22" t="str">
        <f aca="false">IF('Trade Log'!K77="","",'Trade Log'!K77)</f>
        <v/>
      </c>
      <c r="I77" s="23"/>
      <c r="J77" s="23"/>
    </row>
    <row r="78" customFormat="false" ht="15" hidden="false" customHeight="false" outlineLevel="0" collapsed="false">
      <c r="A78" s="22" t="str">
        <f aca="false">IF('Trade Log'!A78="","",'Trade Log'!A78)</f>
        <v/>
      </c>
      <c r="B78" s="22" t="str">
        <f aca="false">IF('Trade Log'!B78="","",'Trade Log'!B78)</f>
        <v/>
      </c>
      <c r="C78" s="22" t="str">
        <f aca="false">IF('Trade Log'!C78="","",'Trade Log'!C78)</f>
        <v/>
      </c>
      <c r="D78" s="22" t="str">
        <f aca="false">IF('Trade Log'!J78="","",'Trade Log'!J78)</f>
        <v/>
      </c>
      <c r="E78" s="21" t="str">
        <f aca="false">IF('Trade Log'!I78="","",'Trade Log'!I78)</f>
        <v/>
      </c>
      <c r="F78" s="26"/>
      <c r="G78" s="26"/>
      <c r="H78" s="22" t="str">
        <f aca="false">IF('Trade Log'!K78="","",'Trade Log'!K78)</f>
        <v/>
      </c>
      <c r="I78" s="26"/>
      <c r="J78" s="26"/>
    </row>
    <row r="79" customFormat="false" ht="15" hidden="false" customHeight="false" outlineLevel="0" collapsed="false">
      <c r="A79" s="22" t="str">
        <f aca="false">IF('Trade Log'!A79="","",'Trade Log'!A79)</f>
        <v/>
      </c>
      <c r="B79" s="22" t="str">
        <f aca="false">IF('Trade Log'!B79="","",'Trade Log'!B79)</f>
        <v/>
      </c>
      <c r="C79" s="22" t="str">
        <f aca="false">IF('Trade Log'!C79="","",'Trade Log'!C79)</f>
        <v/>
      </c>
      <c r="D79" s="22" t="str">
        <f aca="false">IF('Trade Log'!J79="","",'Trade Log'!J79)</f>
        <v/>
      </c>
      <c r="E79" s="21" t="str">
        <f aca="false">IF('Trade Log'!I79="","",'Trade Log'!I79)</f>
        <v/>
      </c>
      <c r="F79" s="23"/>
      <c r="G79" s="23"/>
      <c r="H79" s="22" t="str">
        <f aca="false">IF('Trade Log'!K79="","",'Trade Log'!K79)</f>
        <v/>
      </c>
      <c r="I79" s="23"/>
      <c r="J79" s="23"/>
    </row>
    <row r="80" customFormat="false" ht="15" hidden="false" customHeight="false" outlineLevel="0" collapsed="false">
      <c r="A80" s="22" t="str">
        <f aca="false">IF('Trade Log'!A80="","",'Trade Log'!A80)</f>
        <v/>
      </c>
      <c r="B80" s="22" t="str">
        <f aca="false">IF('Trade Log'!B80="","",'Trade Log'!B80)</f>
        <v/>
      </c>
      <c r="C80" s="22" t="str">
        <f aca="false">IF('Trade Log'!C80="","",'Trade Log'!C80)</f>
        <v/>
      </c>
      <c r="D80" s="22" t="str">
        <f aca="false">IF('Trade Log'!J80="","",'Trade Log'!J80)</f>
        <v/>
      </c>
      <c r="E80" s="21" t="str">
        <f aca="false">IF('Trade Log'!I80="","",'Trade Log'!I80)</f>
        <v/>
      </c>
      <c r="F80" s="26"/>
      <c r="G80" s="26"/>
      <c r="H80" s="22" t="str">
        <f aca="false">IF('Trade Log'!K80="","",'Trade Log'!K80)</f>
        <v/>
      </c>
      <c r="I80" s="26"/>
      <c r="J80" s="26"/>
    </row>
    <row r="81" customFormat="false" ht="15" hidden="false" customHeight="false" outlineLevel="0" collapsed="false">
      <c r="A81" s="22" t="str">
        <f aca="false">IF('Trade Log'!A81="","",'Trade Log'!A81)</f>
        <v/>
      </c>
      <c r="B81" s="22" t="str">
        <f aca="false">IF('Trade Log'!B81="","",'Trade Log'!B81)</f>
        <v/>
      </c>
      <c r="C81" s="22" t="str">
        <f aca="false">IF('Trade Log'!C81="","",'Trade Log'!C81)</f>
        <v/>
      </c>
      <c r="D81" s="22" t="str">
        <f aca="false">IF('Trade Log'!J81="","",'Trade Log'!J81)</f>
        <v/>
      </c>
      <c r="E81" s="21" t="str">
        <f aca="false">IF('Trade Log'!I81="","",'Trade Log'!I81)</f>
        <v/>
      </c>
      <c r="F81" s="23"/>
      <c r="G81" s="23"/>
      <c r="H81" s="22" t="str">
        <f aca="false">IF('Trade Log'!K81="","",'Trade Log'!K81)</f>
        <v/>
      </c>
      <c r="I81" s="23"/>
      <c r="J81" s="23"/>
    </row>
    <row r="82" customFormat="false" ht="15" hidden="false" customHeight="false" outlineLevel="0" collapsed="false">
      <c r="A82" s="22" t="str">
        <f aca="false">IF('Trade Log'!A82="","",'Trade Log'!A82)</f>
        <v/>
      </c>
      <c r="B82" s="22" t="str">
        <f aca="false">IF('Trade Log'!B82="","",'Trade Log'!B82)</f>
        <v/>
      </c>
      <c r="C82" s="22" t="str">
        <f aca="false">IF('Trade Log'!C82="","",'Trade Log'!C82)</f>
        <v/>
      </c>
      <c r="D82" s="22" t="str">
        <f aca="false">IF('Trade Log'!J82="","",'Trade Log'!J82)</f>
        <v/>
      </c>
      <c r="E82" s="21" t="str">
        <f aca="false">IF('Trade Log'!I82="","",'Trade Log'!I82)</f>
        <v/>
      </c>
      <c r="F82" s="26"/>
      <c r="G82" s="26"/>
      <c r="H82" s="22" t="str">
        <f aca="false">IF('Trade Log'!K82="","",'Trade Log'!K82)</f>
        <v/>
      </c>
      <c r="I82" s="26"/>
      <c r="J82" s="26"/>
    </row>
    <row r="83" customFormat="false" ht="15" hidden="false" customHeight="false" outlineLevel="0" collapsed="false">
      <c r="A83" s="22" t="str">
        <f aca="false">IF('Trade Log'!A83="","",'Trade Log'!A83)</f>
        <v/>
      </c>
      <c r="B83" s="22" t="str">
        <f aca="false">IF('Trade Log'!B83="","",'Trade Log'!B83)</f>
        <v/>
      </c>
      <c r="C83" s="22" t="str">
        <f aca="false">IF('Trade Log'!C83="","",'Trade Log'!C83)</f>
        <v/>
      </c>
      <c r="D83" s="22" t="str">
        <f aca="false">IF('Trade Log'!J83="","",'Trade Log'!J83)</f>
        <v/>
      </c>
      <c r="E83" s="21" t="str">
        <f aca="false">IF('Trade Log'!I83="","",'Trade Log'!I83)</f>
        <v/>
      </c>
      <c r="F83" s="23"/>
      <c r="G83" s="23"/>
      <c r="H83" s="22" t="str">
        <f aca="false">IF('Trade Log'!K83="","",'Trade Log'!K83)</f>
        <v/>
      </c>
      <c r="I83" s="23"/>
      <c r="J83" s="23"/>
    </row>
    <row r="84" customFormat="false" ht="15" hidden="false" customHeight="false" outlineLevel="0" collapsed="false">
      <c r="A84" s="22" t="str">
        <f aca="false">IF('Trade Log'!A84="","",'Trade Log'!A84)</f>
        <v/>
      </c>
      <c r="B84" s="22" t="str">
        <f aca="false">IF('Trade Log'!B84="","",'Trade Log'!B84)</f>
        <v/>
      </c>
      <c r="C84" s="22" t="str">
        <f aca="false">IF('Trade Log'!C84="","",'Trade Log'!C84)</f>
        <v/>
      </c>
      <c r="D84" s="22" t="str">
        <f aca="false">IF('Trade Log'!J84="","",'Trade Log'!J84)</f>
        <v/>
      </c>
      <c r="E84" s="21" t="str">
        <f aca="false">IF('Trade Log'!I84="","",'Trade Log'!I84)</f>
        <v/>
      </c>
      <c r="F84" s="26"/>
      <c r="G84" s="26"/>
      <c r="H84" s="22" t="str">
        <f aca="false">IF('Trade Log'!K84="","",'Trade Log'!K84)</f>
        <v/>
      </c>
      <c r="I84" s="26"/>
      <c r="J84" s="26"/>
    </row>
    <row r="85" customFormat="false" ht="15" hidden="false" customHeight="false" outlineLevel="0" collapsed="false">
      <c r="A85" s="22" t="str">
        <f aca="false">IF('Trade Log'!A85="","",'Trade Log'!A85)</f>
        <v/>
      </c>
      <c r="B85" s="22" t="str">
        <f aca="false">IF('Trade Log'!B85="","",'Trade Log'!B85)</f>
        <v/>
      </c>
      <c r="C85" s="22" t="str">
        <f aca="false">IF('Trade Log'!C85="","",'Trade Log'!C85)</f>
        <v/>
      </c>
      <c r="D85" s="22" t="str">
        <f aca="false">IF('Trade Log'!J85="","",'Trade Log'!J85)</f>
        <v/>
      </c>
      <c r="E85" s="21" t="str">
        <f aca="false">IF('Trade Log'!I85="","",'Trade Log'!I85)</f>
        <v/>
      </c>
      <c r="F85" s="23"/>
      <c r="G85" s="23"/>
      <c r="H85" s="22" t="str">
        <f aca="false">IF('Trade Log'!K85="","",'Trade Log'!K85)</f>
        <v/>
      </c>
      <c r="I85" s="23"/>
      <c r="J85" s="23"/>
    </row>
    <row r="86" customFormat="false" ht="15" hidden="false" customHeight="false" outlineLevel="0" collapsed="false">
      <c r="A86" s="22" t="str">
        <f aca="false">IF('Trade Log'!A86="","",'Trade Log'!A86)</f>
        <v/>
      </c>
      <c r="B86" s="22" t="str">
        <f aca="false">IF('Trade Log'!B86="","",'Trade Log'!B86)</f>
        <v/>
      </c>
      <c r="C86" s="22" t="str">
        <f aca="false">IF('Trade Log'!C86="","",'Trade Log'!C86)</f>
        <v/>
      </c>
      <c r="D86" s="22" t="str">
        <f aca="false">IF('Trade Log'!J86="","",'Trade Log'!J86)</f>
        <v/>
      </c>
      <c r="E86" s="21" t="str">
        <f aca="false">IF('Trade Log'!I86="","",'Trade Log'!I86)</f>
        <v/>
      </c>
      <c r="F86" s="26"/>
      <c r="G86" s="26"/>
      <c r="H86" s="22" t="str">
        <f aca="false">IF('Trade Log'!K86="","",'Trade Log'!K86)</f>
        <v/>
      </c>
      <c r="I86" s="26"/>
      <c r="J86" s="26"/>
    </row>
    <row r="87" customFormat="false" ht="15" hidden="false" customHeight="false" outlineLevel="0" collapsed="false">
      <c r="A87" s="22" t="str">
        <f aca="false">IF('Trade Log'!A87="","",'Trade Log'!A87)</f>
        <v/>
      </c>
      <c r="B87" s="22" t="str">
        <f aca="false">IF('Trade Log'!B87="","",'Trade Log'!B87)</f>
        <v/>
      </c>
      <c r="C87" s="22" t="str">
        <f aca="false">IF('Trade Log'!C87="","",'Trade Log'!C87)</f>
        <v/>
      </c>
      <c r="D87" s="22" t="str">
        <f aca="false">IF('Trade Log'!J87="","",'Trade Log'!J87)</f>
        <v/>
      </c>
      <c r="E87" s="21" t="str">
        <f aca="false">IF('Trade Log'!I87="","",'Trade Log'!I87)</f>
        <v/>
      </c>
      <c r="F87" s="23"/>
      <c r="G87" s="23"/>
      <c r="H87" s="22" t="str">
        <f aca="false">IF('Trade Log'!K87="","",'Trade Log'!K87)</f>
        <v/>
      </c>
      <c r="I87" s="23"/>
      <c r="J87" s="23"/>
    </row>
    <row r="88" customFormat="false" ht="15" hidden="false" customHeight="false" outlineLevel="0" collapsed="false">
      <c r="A88" s="22" t="str">
        <f aca="false">IF('Trade Log'!A88="","",'Trade Log'!A88)</f>
        <v/>
      </c>
      <c r="B88" s="22" t="str">
        <f aca="false">IF('Trade Log'!B88="","",'Trade Log'!B88)</f>
        <v/>
      </c>
      <c r="C88" s="22" t="str">
        <f aca="false">IF('Trade Log'!C88="","",'Trade Log'!C88)</f>
        <v/>
      </c>
      <c r="D88" s="22" t="str">
        <f aca="false">IF('Trade Log'!J88="","",'Trade Log'!J88)</f>
        <v/>
      </c>
      <c r="E88" s="21" t="str">
        <f aca="false">IF('Trade Log'!I88="","",'Trade Log'!I88)</f>
        <v/>
      </c>
      <c r="F88" s="26"/>
      <c r="G88" s="26"/>
      <c r="H88" s="22" t="str">
        <f aca="false">IF('Trade Log'!K88="","",'Trade Log'!K88)</f>
        <v/>
      </c>
      <c r="I88" s="26"/>
      <c r="J88" s="26"/>
    </row>
    <row r="89" customFormat="false" ht="15" hidden="false" customHeight="false" outlineLevel="0" collapsed="false">
      <c r="A89" s="22" t="str">
        <f aca="false">IF('Trade Log'!A89="","",'Trade Log'!A89)</f>
        <v/>
      </c>
      <c r="B89" s="22" t="str">
        <f aca="false">IF('Trade Log'!B89="","",'Trade Log'!B89)</f>
        <v/>
      </c>
      <c r="C89" s="22" t="str">
        <f aca="false">IF('Trade Log'!C89="","",'Trade Log'!C89)</f>
        <v/>
      </c>
      <c r="D89" s="22" t="str">
        <f aca="false">IF('Trade Log'!J89="","",'Trade Log'!J89)</f>
        <v/>
      </c>
      <c r="E89" s="21" t="str">
        <f aca="false">IF('Trade Log'!I89="","",'Trade Log'!I89)</f>
        <v/>
      </c>
      <c r="F89" s="23"/>
      <c r="G89" s="23"/>
      <c r="H89" s="22" t="str">
        <f aca="false">IF('Trade Log'!K89="","",'Trade Log'!K89)</f>
        <v/>
      </c>
      <c r="I89" s="23"/>
      <c r="J89" s="23"/>
    </row>
    <row r="90" customFormat="false" ht="15" hidden="false" customHeight="false" outlineLevel="0" collapsed="false">
      <c r="A90" s="22" t="str">
        <f aca="false">IF('Trade Log'!A90="","",'Trade Log'!A90)</f>
        <v/>
      </c>
      <c r="B90" s="22" t="str">
        <f aca="false">IF('Trade Log'!B90="","",'Trade Log'!B90)</f>
        <v/>
      </c>
      <c r="C90" s="22" t="str">
        <f aca="false">IF('Trade Log'!C90="","",'Trade Log'!C90)</f>
        <v/>
      </c>
      <c r="D90" s="22" t="str">
        <f aca="false">IF('Trade Log'!J90="","",'Trade Log'!J90)</f>
        <v/>
      </c>
      <c r="E90" s="21" t="str">
        <f aca="false">IF('Trade Log'!I90="","",'Trade Log'!I90)</f>
        <v/>
      </c>
      <c r="F90" s="26"/>
      <c r="G90" s="26"/>
      <c r="H90" s="22" t="str">
        <f aca="false">IF('Trade Log'!K90="","",'Trade Log'!K90)</f>
        <v/>
      </c>
      <c r="I90" s="26"/>
      <c r="J90" s="26"/>
    </row>
    <row r="91" customFormat="false" ht="15" hidden="false" customHeight="false" outlineLevel="0" collapsed="false">
      <c r="A91" s="22" t="str">
        <f aca="false">IF('Trade Log'!A91="","",'Trade Log'!A91)</f>
        <v/>
      </c>
      <c r="B91" s="22" t="str">
        <f aca="false">IF('Trade Log'!B91="","",'Trade Log'!B91)</f>
        <v/>
      </c>
      <c r="C91" s="22" t="str">
        <f aca="false">IF('Trade Log'!C91="","",'Trade Log'!C91)</f>
        <v/>
      </c>
      <c r="D91" s="22" t="str">
        <f aca="false">IF('Trade Log'!J91="","",'Trade Log'!J91)</f>
        <v/>
      </c>
      <c r="E91" s="21" t="str">
        <f aca="false">IF('Trade Log'!I91="","",'Trade Log'!I91)</f>
        <v/>
      </c>
      <c r="F91" s="23"/>
      <c r="G91" s="23"/>
      <c r="H91" s="22" t="str">
        <f aca="false">IF('Trade Log'!K91="","",'Trade Log'!K91)</f>
        <v/>
      </c>
      <c r="I91" s="23"/>
      <c r="J91" s="23"/>
    </row>
    <row r="92" customFormat="false" ht="15" hidden="false" customHeight="false" outlineLevel="0" collapsed="false">
      <c r="A92" s="22" t="str">
        <f aca="false">IF('Trade Log'!A92="","",'Trade Log'!A92)</f>
        <v/>
      </c>
      <c r="B92" s="22" t="str">
        <f aca="false">IF('Trade Log'!B92="","",'Trade Log'!B92)</f>
        <v/>
      </c>
      <c r="C92" s="22" t="str">
        <f aca="false">IF('Trade Log'!C92="","",'Trade Log'!C92)</f>
        <v/>
      </c>
      <c r="D92" s="22" t="str">
        <f aca="false">IF('Trade Log'!J92="","",'Trade Log'!J92)</f>
        <v/>
      </c>
      <c r="E92" s="21" t="str">
        <f aca="false">IF('Trade Log'!I92="","",'Trade Log'!I92)</f>
        <v/>
      </c>
      <c r="F92" s="26"/>
      <c r="G92" s="26"/>
      <c r="H92" s="22" t="str">
        <f aca="false">IF('Trade Log'!K92="","",'Trade Log'!K92)</f>
        <v/>
      </c>
      <c r="I92" s="26"/>
      <c r="J92" s="26"/>
    </row>
    <row r="93" customFormat="false" ht="15" hidden="false" customHeight="false" outlineLevel="0" collapsed="false">
      <c r="A93" s="22" t="str">
        <f aca="false">IF('Trade Log'!A93="","",'Trade Log'!A93)</f>
        <v/>
      </c>
      <c r="B93" s="22" t="str">
        <f aca="false">IF('Trade Log'!B93="","",'Trade Log'!B93)</f>
        <v/>
      </c>
      <c r="C93" s="22" t="str">
        <f aca="false">IF('Trade Log'!C93="","",'Trade Log'!C93)</f>
        <v/>
      </c>
      <c r="D93" s="22" t="str">
        <f aca="false">IF('Trade Log'!J93="","",'Trade Log'!J93)</f>
        <v/>
      </c>
      <c r="E93" s="21" t="str">
        <f aca="false">IF('Trade Log'!I93="","",'Trade Log'!I93)</f>
        <v/>
      </c>
      <c r="F93" s="23"/>
      <c r="G93" s="23"/>
      <c r="H93" s="22" t="str">
        <f aca="false">IF('Trade Log'!K93="","",'Trade Log'!K93)</f>
        <v/>
      </c>
      <c r="I93" s="23"/>
      <c r="J93" s="23"/>
    </row>
    <row r="94" customFormat="false" ht="15" hidden="false" customHeight="false" outlineLevel="0" collapsed="false">
      <c r="A94" s="22" t="str">
        <f aca="false">IF('Trade Log'!A94="","",'Trade Log'!A94)</f>
        <v/>
      </c>
      <c r="B94" s="22" t="str">
        <f aca="false">IF('Trade Log'!B94="","",'Trade Log'!B94)</f>
        <v/>
      </c>
      <c r="C94" s="22" t="str">
        <f aca="false">IF('Trade Log'!C94="","",'Trade Log'!C94)</f>
        <v/>
      </c>
      <c r="D94" s="22" t="str">
        <f aca="false">IF('Trade Log'!J94="","",'Trade Log'!J94)</f>
        <v/>
      </c>
      <c r="E94" s="21" t="str">
        <f aca="false">IF('Trade Log'!I94="","",'Trade Log'!I94)</f>
        <v/>
      </c>
      <c r="F94" s="26"/>
      <c r="G94" s="26"/>
      <c r="H94" s="22" t="str">
        <f aca="false">IF('Trade Log'!K94="","",'Trade Log'!K94)</f>
        <v/>
      </c>
      <c r="I94" s="26"/>
      <c r="J94" s="26"/>
    </row>
    <row r="95" customFormat="false" ht="15" hidden="false" customHeight="false" outlineLevel="0" collapsed="false">
      <c r="A95" s="22" t="str">
        <f aca="false">IF('Trade Log'!A95="","",'Trade Log'!A95)</f>
        <v/>
      </c>
      <c r="B95" s="22" t="str">
        <f aca="false">IF('Trade Log'!B95="","",'Trade Log'!B95)</f>
        <v/>
      </c>
      <c r="C95" s="22" t="str">
        <f aca="false">IF('Trade Log'!C95="","",'Trade Log'!C95)</f>
        <v/>
      </c>
      <c r="D95" s="22" t="str">
        <f aca="false">IF('Trade Log'!J95="","",'Trade Log'!J95)</f>
        <v/>
      </c>
      <c r="E95" s="21" t="str">
        <f aca="false">IF('Trade Log'!I95="","",'Trade Log'!I95)</f>
        <v/>
      </c>
      <c r="F95" s="23"/>
      <c r="G95" s="23"/>
      <c r="H95" s="22" t="str">
        <f aca="false">IF('Trade Log'!K95="","",'Trade Log'!K95)</f>
        <v/>
      </c>
      <c r="I95" s="23"/>
      <c r="J95" s="23"/>
    </row>
    <row r="96" customFormat="false" ht="15" hidden="false" customHeight="false" outlineLevel="0" collapsed="false">
      <c r="A96" s="22" t="str">
        <f aca="false">IF('Trade Log'!A96="","",'Trade Log'!A96)</f>
        <v/>
      </c>
      <c r="B96" s="22" t="str">
        <f aca="false">IF('Trade Log'!B96="","",'Trade Log'!B96)</f>
        <v/>
      </c>
      <c r="C96" s="22" t="str">
        <f aca="false">IF('Trade Log'!C96="","",'Trade Log'!C96)</f>
        <v/>
      </c>
      <c r="D96" s="22" t="str">
        <f aca="false">IF('Trade Log'!J96="","",'Trade Log'!J96)</f>
        <v/>
      </c>
      <c r="E96" s="21" t="str">
        <f aca="false">IF('Trade Log'!I96="","",'Trade Log'!I96)</f>
        <v/>
      </c>
      <c r="F96" s="26"/>
      <c r="G96" s="26"/>
      <c r="H96" s="22" t="str">
        <f aca="false">IF('Trade Log'!K96="","",'Trade Log'!K96)</f>
        <v/>
      </c>
      <c r="I96" s="26"/>
      <c r="J96" s="26"/>
    </row>
    <row r="97" customFormat="false" ht="15" hidden="false" customHeight="false" outlineLevel="0" collapsed="false">
      <c r="A97" s="22" t="str">
        <f aca="false">IF('Trade Log'!A97="","",'Trade Log'!A97)</f>
        <v/>
      </c>
      <c r="B97" s="22" t="str">
        <f aca="false">IF('Trade Log'!B97="","",'Trade Log'!B97)</f>
        <v/>
      </c>
      <c r="C97" s="22" t="str">
        <f aca="false">IF('Trade Log'!C97="","",'Trade Log'!C97)</f>
        <v/>
      </c>
      <c r="D97" s="22" t="str">
        <f aca="false">IF('Trade Log'!J97="","",'Trade Log'!J97)</f>
        <v/>
      </c>
      <c r="E97" s="21" t="str">
        <f aca="false">IF('Trade Log'!I97="","",'Trade Log'!I97)</f>
        <v/>
      </c>
      <c r="F97" s="23"/>
      <c r="G97" s="23"/>
      <c r="H97" s="22" t="str">
        <f aca="false">IF('Trade Log'!K97="","",'Trade Log'!K97)</f>
        <v/>
      </c>
      <c r="I97" s="23"/>
      <c r="J97" s="23"/>
    </row>
    <row r="98" customFormat="false" ht="15" hidden="false" customHeight="false" outlineLevel="0" collapsed="false">
      <c r="A98" s="22" t="str">
        <f aca="false">IF('Trade Log'!A98="","",'Trade Log'!A98)</f>
        <v/>
      </c>
      <c r="B98" s="22" t="str">
        <f aca="false">IF('Trade Log'!B98="","",'Trade Log'!B98)</f>
        <v/>
      </c>
      <c r="C98" s="22" t="str">
        <f aca="false">IF('Trade Log'!C98="","",'Trade Log'!C98)</f>
        <v/>
      </c>
      <c r="D98" s="22" t="str">
        <f aca="false">IF('Trade Log'!J98="","",'Trade Log'!J98)</f>
        <v/>
      </c>
      <c r="E98" s="21" t="str">
        <f aca="false">IF('Trade Log'!I98="","",'Trade Log'!I98)</f>
        <v/>
      </c>
      <c r="F98" s="26"/>
      <c r="G98" s="26"/>
      <c r="H98" s="22" t="str">
        <f aca="false">IF('Trade Log'!K98="","",'Trade Log'!K98)</f>
        <v/>
      </c>
      <c r="I98" s="26"/>
      <c r="J98" s="26"/>
    </row>
    <row r="99" customFormat="false" ht="15" hidden="false" customHeight="false" outlineLevel="0" collapsed="false">
      <c r="A99" s="22" t="str">
        <f aca="false">IF('Trade Log'!A99="","",'Trade Log'!A99)</f>
        <v/>
      </c>
      <c r="B99" s="22" t="str">
        <f aca="false">IF('Trade Log'!B99="","",'Trade Log'!B99)</f>
        <v/>
      </c>
      <c r="C99" s="22" t="str">
        <f aca="false">IF('Trade Log'!C99="","",'Trade Log'!C99)</f>
        <v/>
      </c>
      <c r="D99" s="22" t="str">
        <f aca="false">IF('Trade Log'!J99="","",'Trade Log'!J99)</f>
        <v/>
      </c>
      <c r="E99" s="21" t="str">
        <f aca="false">IF('Trade Log'!I99="","",'Trade Log'!I99)</f>
        <v/>
      </c>
      <c r="F99" s="23"/>
      <c r="G99" s="23"/>
      <c r="H99" s="22" t="str">
        <f aca="false">IF('Trade Log'!K99="","",'Trade Log'!K99)</f>
        <v/>
      </c>
      <c r="I99" s="23"/>
      <c r="J99" s="23"/>
    </row>
    <row r="100" customFormat="false" ht="15" hidden="false" customHeight="false" outlineLevel="0" collapsed="false">
      <c r="A100" s="22" t="str">
        <f aca="false">IF('Trade Log'!A100="","",'Trade Log'!A100)</f>
        <v/>
      </c>
      <c r="B100" s="22" t="str">
        <f aca="false">IF('Trade Log'!B100="","",'Trade Log'!B100)</f>
        <v/>
      </c>
      <c r="C100" s="22" t="str">
        <f aca="false">IF('Trade Log'!C100="","",'Trade Log'!C100)</f>
        <v/>
      </c>
      <c r="D100" s="22" t="str">
        <f aca="false">IF('Trade Log'!J100="","",'Trade Log'!J100)</f>
        <v/>
      </c>
      <c r="E100" s="21" t="str">
        <f aca="false">IF('Trade Log'!I100="","",'Trade Log'!I100)</f>
        <v/>
      </c>
      <c r="F100" s="26"/>
      <c r="G100" s="26"/>
      <c r="H100" s="22" t="str">
        <f aca="false">IF('Trade Log'!K100="","",'Trade Log'!K100)</f>
        <v/>
      </c>
      <c r="I100" s="26"/>
      <c r="J100" s="26"/>
    </row>
    <row r="101" customFormat="false" ht="15" hidden="false" customHeight="false" outlineLevel="0" collapsed="false">
      <c r="A101" s="22" t="str">
        <f aca="false">IF('Trade Log'!A101="","",'Trade Log'!A101)</f>
        <v/>
      </c>
      <c r="B101" s="22" t="str">
        <f aca="false">IF('Trade Log'!B101="","",'Trade Log'!B101)</f>
        <v/>
      </c>
      <c r="C101" s="22" t="str">
        <f aca="false">IF('Trade Log'!C101="","",'Trade Log'!C101)</f>
        <v/>
      </c>
      <c r="D101" s="22" t="str">
        <f aca="false">IF('Trade Log'!J101="","",'Trade Log'!J101)</f>
        <v/>
      </c>
      <c r="E101" s="21" t="str">
        <f aca="false">IF('Trade Log'!I101="","",'Trade Log'!I101)</f>
        <v/>
      </c>
      <c r="F101" s="23"/>
      <c r="G101" s="23"/>
      <c r="H101" s="22" t="str">
        <f aca="false">IF('Trade Log'!K101="","",'Trade Log'!K101)</f>
        <v/>
      </c>
      <c r="I101" s="23"/>
      <c r="J101" s="23"/>
    </row>
    <row r="102" customFormat="false" ht="15" hidden="false" customHeight="false" outlineLevel="0" collapsed="false">
      <c r="A102" s="22" t="str">
        <f aca="false">IF('Trade Log'!A102="","",'Trade Log'!A102)</f>
        <v/>
      </c>
      <c r="B102" s="22" t="str">
        <f aca="false">IF('Trade Log'!B102="","",'Trade Log'!B102)</f>
        <v/>
      </c>
      <c r="C102" s="22" t="str">
        <f aca="false">IF('Trade Log'!C102="","",'Trade Log'!C102)</f>
        <v/>
      </c>
      <c r="D102" s="22" t="str">
        <f aca="false">IF('Trade Log'!J102="","",'Trade Log'!J102)</f>
        <v/>
      </c>
      <c r="E102" s="21" t="str">
        <f aca="false">IF('Trade Log'!I102="","",'Trade Log'!I102)</f>
        <v/>
      </c>
      <c r="F102" s="26"/>
      <c r="G102" s="26"/>
      <c r="H102" s="22" t="str">
        <f aca="false">IF('Trade Log'!K102="","",'Trade Log'!K102)</f>
        <v/>
      </c>
      <c r="I102" s="26"/>
      <c r="J102" s="26"/>
    </row>
    <row r="103" customFormat="false" ht="15" hidden="false" customHeight="false" outlineLevel="0" collapsed="false">
      <c r="A103" s="22" t="str">
        <f aca="false">IF('Trade Log'!A103="","",'Trade Log'!A103)</f>
        <v/>
      </c>
      <c r="B103" s="22" t="str">
        <f aca="false">IF('Trade Log'!B103="","",'Trade Log'!B103)</f>
        <v/>
      </c>
      <c r="C103" s="22" t="str">
        <f aca="false">IF('Trade Log'!C103="","",'Trade Log'!C103)</f>
        <v/>
      </c>
      <c r="D103" s="22" t="str">
        <f aca="false">IF('Trade Log'!J103="","",'Trade Log'!J103)</f>
        <v/>
      </c>
      <c r="E103" s="21" t="str">
        <f aca="false">IF('Trade Log'!I103="","",'Trade Log'!I103)</f>
        <v/>
      </c>
      <c r="F103" s="23"/>
      <c r="G103" s="23"/>
      <c r="H103" s="22" t="str">
        <f aca="false">IF('Trade Log'!K103="","",'Trade Log'!K103)</f>
        <v/>
      </c>
      <c r="I103" s="23"/>
      <c r="J103" s="23"/>
    </row>
    <row r="104" customFormat="false" ht="15" hidden="false" customHeight="false" outlineLevel="0" collapsed="false">
      <c r="A104" s="22" t="str">
        <f aca="false">IF('Trade Log'!A104="","",'Trade Log'!A104)</f>
        <v/>
      </c>
      <c r="B104" s="22" t="str">
        <f aca="false">IF('Trade Log'!B104="","",'Trade Log'!B104)</f>
        <v/>
      </c>
      <c r="C104" s="22" t="str">
        <f aca="false">IF('Trade Log'!C104="","",'Trade Log'!C104)</f>
        <v/>
      </c>
      <c r="D104" s="22" t="str">
        <f aca="false">IF('Trade Log'!J104="","",'Trade Log'!J104)</f>
        <v/>
      </c>
      <c r="E104" s="21" t="str">
        <f aca="false">IF('Trade Log'!I104="","",'Trade Log'!I104)</f>
        <v/>
      </c>
      <c r="F104" s="26"/>
      <c r="G104" s="26"/>
      <c r="H104" s="22" t="str">
        <f aca="false">IF('Trade Log'!K104="","",'Trade Log'!K104)</f>
        <v/>
      </c>
      <c r="I104" s="26"/>
      <c r="J104" s="26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7"/>
  </cols>
  <sheetData>
    <row r="1" customFormat="false" ht="27.75" hidden="false" customHeight="true" outlineLevel="0" collapsed="false">
      <c r="A1" s="7" t="s">
        <v>93</v>
      </c>
      <c r="B1" s="7"/>
      <c r="C1" s="7"/>
      <c r="D1" s="7"/>
      <c r="E1" s="7"/>
    </row>
    <row r="2" customFormat="false" ht="19.5" hidden="false" customHeight="true" outlineLevel="0" collapsed="false">
      <c r="A2" s="27" t="s">
        <v>94</v>
      </c>
      <c r="B2" s="27"/>
      <c r="C2" s="27"/>
      <c r="D2" s="27"/>
      <c r="E2" s="27"/>
    </row>
    <row r="4" customFormat="false" ht="21.75" hidden="false" customHeight="true" outlineLevel="0" collapsed="false">
      <c r="A4" s="11" t="s">
        <v>95</v>
      </c>
      <c r="B4" s="28" t="s">
        <v>77</v>
      </c>
      <c r="C4" s="11" t="s">
        <v>96</v>
      </c>
      <c r="D4" s="11" t="s">
        <v>97</v>
      </c>
      <c r="E4" s="11" t="s">
        <v>98</v>
      </c>
    </row>
    <row r="5" customFormat="false" ht="19.5" hidden="false" customHeight="true" outlineLevel="0" collapsed="false">
      <c r="A5" s="29" t="s">
        <v>99</v>
      </c>
      <c r="B5" s="30" t="n">
        <f aca="false">COUNTIFS('Trade Log'!$C$5:$C$104,"Setup 1",'Trade Log'!$J$5:$J$104,"WIN")+COUNTIFS('Trade Log'!$C$5:$C$104,"Setup 1",'Trade Log'!$J$5:$J$104,"LOSS")+COUNTIFS('Trade Log'!$C$5:$C$104,"Setup 1",'Trade Log'!$J$5:$J$104,"BE")</f>
        <v>0</v>
      </c>
      <c r="C5" s="30" t="n">
        <f aca="false">COUNTIFS('Trade Log'!$C$5:$C$104,"Setup 2",'Trade Log'!$J$5:$J$104,"WIN")+COUNTIFS('Trade Log'!$C$5:$C$104,"Setup 2",'Trade Log'!$J$5:$J$104,"LOSS")+COUNTIFS('Trade Log'!$C$5:$C$104,"Setup 2",'Trade Log'!$J$5:$J$104,"BE")</f>
        <v>0</v>
      </c>
      <c r="D5" s="30" t="n">
        <f aca="false">COUNTIFS('Trade Log'!$C$5:$C$104,"Setup 3",'Trade Log'!$J$5:$J$104,"WIN")+COUNTIFS('Trade Log'!$C$5:$C$104,"Setup 3",'Trade Log'!$J$5:$J$104,"LOSS")+COUNTIFS('Trade Log'!$C$5:$C$104,"Setup 3",'Trade Log'!$J$5:$J$104,"BE")</f>
        <v>0</v>
      </c>
      <c r="E5" s="30" t="n">
        <f aca="false">COUNTIF('Trade Log'!$J$5:$J$104,"WIN")+COUNTIF('Trade Log'!$J$5:$J$104,"LOSS")+COUNTIF('Trade Log'!$J$5:$J$104,"BE")</f>
        <v>0</v>
      </c>
    </row>
    <row r="6" customFormat="false" ht="19.5" hidden="false" customHeight="true" outlineLevel="0" collapsed="false">
      <c r="A6" s="31" t="s">
        <v>100</v>
      </c>
      <c r="B6" s="24" t="n">
        <f aca="false">COUNTIFS('Trade Log'!$C$5:$C$104,"Setup 1",'Trade Log'!$J$5:$J$104,"WIN")</f>
        <v>0</v>
      </c>
      <c r="C6" s="24" t="n">
        <f aca="false">COUNTIFS('Trade Log'!$C$5:$C$104,"Setup 2",'Trade Log'!$J$5:$J$104,"WIN")</f>
        <v>0</v>
      </c>
      <c r="D6" s="24" t="n">
        <f aca="false">COUNTIFS('Trade Log'!$C$5:$C$104,"Setup 3",'Trade Log'!$J$5:$J$104,"WIN")</f>
        <v>0</v>
      </c>
      <c r="E6" s="24" t="n">
        <f aca="false">COUNTIF('Trade Log'!$J$5:$J$104,"WIN")</f>
        <v>0</v>
      </c>
    </row>
    <row r="7" customFormat="false" ht="19.5" hidden="false" customHeight="true" outlineLevel="0" collapsed="false">
      <c r="A7" s="31" t="s">
        <v>101</v>
      </c>
      <c r="B7" s="24" t="n">
        <f aca="false">COUNTIFS('Trade Log'!$C$5:$C$104,"Setup 1",'Trade Log'!$J$5:$J$104,"LOSS")</f>
        <v>0</v>
      </c>
      <c r="C7" s="24" t="n">
        <f aca="false">COUNTIFS('Trade Log'!$C$5:$C$104,"Setup 2",'Trade Log'!$J$5:$J$104,"LOSS")</f>
        <v>0</v>
      </c>
      <c r="D7" s="24" t="n">
        <f aca="false">COUNTIFS('Trade Log'!$C$5:$C$104,"Setup 3",'Trade Log'!$J$5:$J$104,"LOSS")</f>
        <v>0</v>
      </c>
      <c r="E7" s="24" t="n">
        <f aca="false">COUNTIF('Trade Log'!$J$5:$J$104,"LOSS")</f>
        <v>0</v>
      </c>
    </row>
    <row r="8" customFormat="false" ht="19.5" hidden="false" customHeight="true" outlineLevel="0" collapsed="false">
      <c r="A8" s="31" t="s">
        <v>102</v>
      </c>
      <c r="B8" s="24" t="n">
        <f aca="false">COUNTIFS('Trade Log'!$C$5:$C$104,"Setup 1",'Trade Log'!$J$5:$J$104,"BE")</f>
        <v>0</v>
      </c>
      <c r="C8" s="24" t="n">
        <f aca="false">COUNTIFS('Trade Log'!$C$5:$C$104,"Setup 2",'Trade Log'!$J$5:$J$104,"BE")</f>
        <v>0</v>
      </c>
      <c r="D8" s="24" t="n">
        <f aca="false">COUNTIFS('Trade Log'!$C$5:$C$104,"Setup 3",'Trade Log'!$J$5:$J$104,"BE")</f>
        <v>0</v>
      </c>
      <c r="E8" s="24" t="n">
        <f aca="false">COUNTIF('Trade Log'!$J$5:$J$104,"BE")</f>
        <v>0</v>
      </c>
    </row>
    <row r="9" customFormat="false" ht="19.5" hidden="false" customHeight="true" outlineLevel="0" collapsed="false">
      <c r="A9" s="31" t="s">
        <v>103</v>
      </c>
      <c r="B9" s="32" t="str">
        <f aca="false">IFERROR(COUNTIFS('Trade Log'!$C$5:$C$104,"Setup 1",'Trade Log'!$J$5:$J$104,"WIN")/(COUNTIFS('Trade Log'!$C$5:$C$104,"Setup 1",'Trade Log'!$J$5:$J$104,"WIN")+COUNTIFS('Trade Log'!$C$5:$C$104,"Setup 1",'Trade Log'!$J$5:$J$104,"LOSS")),"")</f>
        <v/>
      </c>
      <c r="C9" s="32" t="str">
        <f aca="false">IFERROR(COUNTIFS('Trade Log'!$C$5:$C$104,"Setup 2",'Trade Log'!$J$5:$J$104,"WIN")/(COUNTIFS('Trade Log'!$C$5:$C$104,"Setup 2",'Trade Log'!$J$5:$J$104,"WIN")+COUNTIFS('Trade Log'!$C$5:$C$104,"Setup 2",'Trade Log'!$J$5:$J$104,"LOSS")),"")</f>
        <v/>
      </c>
      <c r="D9" s="32" t="str">
        <f aca="false">IFERROR(COUNTIFS('Trade Log'!$C$5:$C$104,"Setup 3",'Trade Log'!$J$5:$J$104,"WIN")/(COUNTIFS('Trade Log'!$C$5:$C$104,"Setup 3",'Trade Log'!$J$5:$J$104,"WIN")+COUNTIFS('Trade Log'!$C$5:$C$104,"Setup 3",'Trade Log'!$J$5:$J$104,"LOSS")),"")</f>
        <v/>
      </c>
      <c r="E9" s="32" t="str">
        <f aca="false">IFERROR(COUNTIF('Trade Log'!$J$5:$J$104,"WIN")/(COUNTIF('Trade Log'!$J$5:$J$104,"WIN")+COUNTIF('Trade Log'!$J$5:$J$104,"LOSS")),"")</f>
        <v/>
      </c>
    </row>
    <row r="10" customFormat="false" ht="19.5" hidden="false" customHeight="true" outlineLevel="0" collapsed="false">
      <c r="A10" s="31" t="s">
        <v>104</v>
      </c>
      <c r="B10" s="33" t="str">
        <f aca="false">IFERROR(AVERAGEIFS('Trade Log'!$I$5:$I$104,'Trade Log'!$C$5:$C$104,"Setup 1",'Trade Log'!$I$5:$I$104,"&gt;0"),"")</f>
        <v/>
      </c>
      <c r="C10" s="33" t="str">
        <f aca="false">IFERROR(AVERAGEIFS('Trade Log'!$I$5:$I$104,'Trade Log'!$C$5:$C$104,"Setup 2",'Trade Log'!$I$5:$I$104,"&gt;0"),"")</f>
        <v/>
      </c>
      <c r="D10" s="33" t="str">
        <f aca="false">IFERROR(AVERAGEIFS('Trade Log'!$I$5:$I$104,'Trade Log'!$C$5:$C$104,"Setup 3",'Trade Log'!$I$5:$I$104,"&gt;0"),"")</f>
        <v/>
      </c>
      <c r="E10" s="33" t="str">
        <f aca="false">IFERROR(AVERAGEIF('Trade Log'!$I$5:$I$104,"&gt;0"),"")</f>
        <v/>
      </c>
    </row>
    <row r="11" customFormat="false" ht="19.5" hidden="false" customHeight="true" outlineLevel="0" collapsed="false">
      <c r="A11" s="31" t="s">
        <v>105</v>
      </c>
      <c r="B11" s="33" t="str">
        <f aca="false">IFERROR(AVERAGEIFS('Trade Log'!$I$5:$I$104,'Trade Log'!$C$5:$C$104,"Setup 1",'Trade Log'!$I$5:$I$104,"&lt;0"),"")</f>
        <v/>
      </c>
      <c r="C11" s="33" t="str">
        <f aca="false">IFERROR(AVERAGEIFS('Trade Log'!$I$5:$I$104,'Trade Log'!$C$5:$C$104,"Setup 2",'Trade Log'!$I$5:$I$104,"&lt;0"),"")</f>
        <v/>
      </c>
      <c r="D11" s="33" t="str">
        <f aca="false">IFERROR(AVERAGEIFS('Trade Log'!$I$5:$I$104,'Trade Log'!$C$5:$C$104,"Setup 3",'Trade Log'!$I$5:$I$104,"&lt;0"),"")</f>
        <v/>
      </c>
      <c r="E11" s="33" t="str">
        <f aca="false">IFERROR(AVERAGEIF('Trade Log'!$I$5:$I$104,"&lt;0"),"")</f>
        <v/>
      </c>
    </row>
    <row r="12" customFormat="false" ht="19.5" hidden="false" customHeight="true" outlineLevel="0" collapsed="false">
      <c r="A12" s="31" t="s">
        <v>106</v>
      </c>
      <c r="B12" s="33" t="n">
        <f aca="false">SUMIFS('Trade Log'!$I$5:$I$104,'Trade Log'!$C$5:$C$104,"Setup 1")</f>
        <v>0</v>
      </c>
      <c r="C12" s="33" t="n">
        <f aca="false">SUMIFS('Trade Log'!$I$5:$I$104,'Trade Log'!$C$5:$C$104,"Setup 2")</f>
        <v>0</v>
      </c>
      <c r="D12" s="33" t="n">
        <f aca="false">SUMIFS('Trade Log'!$I$5:$I$104,'Trade Log'!$C$5:$C$104,"Setup 3")</f>
        <v>0</v>
      </c>
      <c r="E12" s="33" t="n">
        <f aca="false">SUM('Trade Log'!$I$5:$I$104)</f>
        <v>0</v>
      </c>
    </row>
    <row r="14" customFormat="false" ht="30" hidden="false" customHeight="true" outlineLevel="0" collapsed="false">
      <c r="A14" s="34" t="s">
        <v>107</v>
      </c>
      <c r="B14" s="35" t="str">
        <f aca="false">IFERROR(B12/B5,"")</f>
        <v/>
      </c>
      <c r="C14" s="35" t="str">
        <f aca="false">IFERROR(C12/C5,"")</f>
        <v/>
      </c>
      <c r="D14" s="35" t="str">
        <f aca="false">IFERROR(D12/D5,"")</f>
        <v/>
      </c>
      <c r="E14" s="35" t="str">
        <f aca="false">IFERROR(E12/E5,"")</f>
        <v/>
      </c>
    </row>
    <row r="15" customFormat="false" ht="30" hidden="false" customHeight="true" outlineLevel="0" collapsed="false">
      <c r="A15" s="34" t="s">
        <v>108</v>
      </c>
      <c r="B15" s="36" t="str">
        <f aca="false">IF(B5=0,"— no data —",IF(B5&lt;30,"Need "&amp;(30-B5)&amp;" more",IF(B14&gt;0,"EDGE ✓","NO EDGE ✗")))</f>
        <v>— no data —</v>
      </c>
      <c r="C15" s="36" t="str">
        <f aca="false">IF(C5=0,"— no data —",IF(C5&lt;30,"Need "&amp;(30-C5)&amp;" more",IF(C14&gt;0,"EDGE ✓","NO EDGE ✗")))</f>
        <v>— no data —</v>
      </c>
      <c r="D15" s="36" t="str">
        <f aca="false">IF(D5=0,"— no data —",IF(D5&lt;30,"Need "&amp;(30-D5)&amp;" more",IF(D14&gt;0,"EDGE ✓","NO EDGE ✗")))</f>
        <v>— no data —</v>
      </c>
      <c r="E15" s="36" t="str">
        <f aca="false">IF(E5=0,"— no data —",IF(E5&lt;30,"Need "&amp;(30-E5)&amp;" more",IF(E14&gt;0,"EDGE ✓","NO EDGE ✗")))</f>
        <v>— no data —</v>
      </c>
    </row>
    <row r="17" customFormat="false" ht="19.5" hidden="false" customHeight="true" outlineLevel="0" collapsed="false">
      <c r="A17" s="31" t="s">
        <v>109</v>
      </c>
      <c r="B17" s="32" t="str">
        <f aca="false">IFERROR(COUNTIFS('Trade Log'!$C$5:$C$104,"Setup 1",'Trade Log'!$K$5:$K$104,"Y")/B5,"")</f>
        <v/>
      </c>
      <c r="C17" s="32" t="str">
        <f aca="false">IFERROR(COUNTIFS('Trade Log'!$C$5:$C$104,"Setup 2",'Trade Log'!$K$5:$K$104,"Y")/C5,"")</f>
        <v/>
      </c>
      <c r="D17" s="32" t="str">
        <f aca="false">IFERROR(COUNTIFS('Trade Log'!$C$5:$C$104,"Setup 3",'Trade Log'!$K$5:$K$104,"Y")/D5,"")</f>
        <v/>
      </c>
      <c r="E17" s="32" t="str">
        <f aca="false">IFERROR(COUNTIF('Trade Log'!$K$5:$K$104,"Y")/E5,"")</f>
        <v/>
      </c>
    </row>
    <row r="19" customFormat="false" ht="43.5" hidden="false" customHeight="true" outlineLevel="0" collapsed="false">
      <c r="A19" s="37" t="s">
        <v>110</v>
      </c>
      <c r="B19" s="37"/>
      <c r="C19" s="37"/>
      <c r="D19" s="37"/>
      <c r="E19" s="37"/>
    </row>
  </sheetData>
  <mergeCells count="3">
    <mergeCell ref="A1:E1"/>
    <mergeCell ref="A2:E2"/>
    <mergeCell ref="A19:E19"/>
  </mergeCells>
  <conditionalFormatting sqref="B14:E1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5:E15">
    <cfRule type="expression" priority="4" aboveAverage="0" equalAverage="0" bottom="0" percent="0" rank="0" text="" dxfId="0">
      <formula>AND(B$14&gt;0,B$5&gt;=30)</formula>
    </cfRule>
    <cfRule type="expression" priority="5" aboveAverage="0" equalAverage="0" bottom="0" percent="0" rank="0" text="" dxfId="1">
      <formula>AND(B$14&lt;0,B$5&gt;=30)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</cols>
  <sheetData>
    <row r="1" customFormat="false" ht="24" hidden="false" customHeight="true" outlineLevel="0" collapsed="false">
      <c r="A1" s="15" t="s">
        <v>111</v>
      </c>
      <c r="B1" s="15"/>
      <c r="C1" s="15"/>
    </row>
    <row r="3" customFormat="false" ht="21.75" hidden="false" customHeight="true" outlineLevel="0" collapsed="false">
      <c r="A3" s="3" t="s">
        <v>112</v>
      </c>
      <c r="B3" s="3"/>
      <c r="C3" s="3"/>
    </row>
    <row r="4" customFormat="false" ht="21.75" hidden="false" customHeight="true" outlineLevel="0" collapsed="false">
      <c r="A4" s="38" t="s">
        <v>113</v>
      </c>
      <c r="B4" s="39"/>
      <c r="C4" s="40"/>
    </row>
    <row r="5" customFormat="false" ht="21.75" hidden="false" customHeight="true" outlineLevel="0" collapsed="false">
      <c r="A5" s="38" t="s">
        <v>114</v>
      </c>
      <c r="B5" s="39"/>
      <c r="C5" s="40"/>
    </row>
    <row r="6" customFormat="false" ht="21.75" hidden="false" customHeight="true" outlineLevel="0" collapsed="false">
      <c r="A6" s="38" t="s">
        <v>115</v>
      </c>
      <c r="B6" s="39"/>
      <c r="C6" s="40"/>
    </row>
    <row r="7" customFormat="false" ht="21.75" hidden="false" customHeight="true" outlineLevel="0" collapsed="false">
      <c r="A7" s="38" t="s">
        <v>116</v>
      </c>
      <c r="B7" s="39"/>
      <c r="C7" s="40"/>
    </row>
    <row r="8" customFormat="false" ht="21.75" hidden="false" customHeight="true" outlineLevel="0" collapsed="false">
      <c r="A8" s="38" t="s">
        <v>117</v>
      </c>
      <c r="B8" s="39"/>
      <c r="C8" s="40"/>
    </row>
    <row r="9" customFormat="false" ht="21.75" hidden="false" customHeight="true" outlineLevel="0" collapsed="false">
      <c r="A9" s="38" t="s">
        <v>118</v>
      </c>
      <c r="B9" s="39"/>
      <c r="C9" s="40"/>
    </row>
    <row r="10" customFormat="false" ht="21.75" hidden="false" customHeight="true" outlineLevel="0" collapsed="false">
      <c r="A10" s="38" t="s">
        <v>119</v>
      </c>
      <c r="B10" s="39"/>
      <c r="C10" s="40"/>
    </row>
    <row r="11" customFormat="false" ht="21.75" hidden="false" customHeight="true" outlineLevel="0" collapsed="false">
      <c r="A11" s="38" t="s">
        <v>120</v>
      </c>
      <c r="B11" s="39"/>
      <c r="C11" s="40"/>
    </row>
    <row r="12" customFormat="false" ht="21.75" hidden="false" customHeight="true" outlineLevel="0" collapsed="false">
      <c r="A12" s="38" t="s">
        <v>121</v>
      </c>
      <c r="B12" s="39" t="s">
        <v>122</v>
      </c>
      <c r="C12" s="40"/>
    </row>
    <row r="13" customFormat="false" ht="21.75" hidden="false" customHeight="true" outlineLevel="0" collapsed="false">
      <c r="A13" s="38" t="s">
        <v>123</v>
      </c>
      <c r="B13" s="39"/>
      <c r="C13" s="40"/>
    </row>
    <row r="15" customFormat="false" ht="21.75" hidden="false" customHeight="true" outlineLevel="0" collapsed="false">
      <c r="A15" s="3" t="s">
        <v>124</v>
      </c>
      <c r="B15" s="3"/>
      <c r="C15" s="3"/>
    </row>
    <row r="16" customFormat="false" ht="21.75" hidden="false" customHeight="true" outlineLevel="0" collapsed="false">
      <c r="A16" s="38" t="s">
        <v>125</v>
      </c>
      <c r="B16" s="39"/>
      <c r="C16" s="40"/>
    </row>
    <row r="17" customFormat="false" ht="21.75" hidden="false" customHeight="true" outlineLevel="0" collapsed="false">
      <c r="A17" s="38" t="s">
        <v>126</v>
      </c>
      <c r="B17" s="39"/>
      <c r="C17" s="40"/>
    </row>
    <row r="18" customFormat="false" ht="21.75" hidden="false" customHeight="true" outlineLevel="0" collapsed="false">
      <c r="A18" s="38" t="s">
        <v>127</v>
      </c>
      <c r="B18" s="39"/>
      <c r="C18" s="40"/>
    </row>
    <row r="19" customFormat="false" ht="21.75" hidden="false" customHeight="true" outlineLevel="0" collapsed="false">
      <c r="A19" s="38" t="s">
        <v>114</v>
      </c>
      <c r="B19" s="39"/>
      <c r="C19" s="40"/>
    </row>
    <row r="20" customFormat="false" ht="21.75" hidden="false" customHeight="true" outlineLevel="0" collapsed="false">
      <c r="A20" s="38" t="s">
        <v>116</v>
      </c>
      <c r="B20" s="39"/>
      <c r="C20" s="40"/>
    </row>
    <row r="21" customFormat="false" ht="21.75" hidden="false" customHeight="true" outlineLevel="0" collapsed="false">
      <c r="A21" s="38" t="s">
        <v>128</v>
      </c>
      <c r="B21" s="39"/>
      <c r="C21" s="40"/>
    </row>
    <row r="22" customFormat="false" ht="21.75" hidden="false" customHeight="true" outlineLevel="0" collapsed="false">
      <c r="A22" s="38" t="s">
        <v>129</v>
      </c>
      <c r="B22" s="39"/>
      <c r="C22" s="40"/>
    </row>
    <row r="23" customFormat="false" ht="21.75" hidden="false" customHeight="true" outlineLevel="0" collapsed="false">
      <c r="A23" s="38" t="s">
        <v>130</v>
      </c>
      <c r="B23" s="39" t="s">
        <v>131</v>
      </c>
      <c r="C23" s="40"/>
    </row>
    <row r="24" customFormat="false" ht="21.75" hidden="false" customHeight="true" outlineLevel="0" collapsed="false">
      <c r="A24" s="38" t="s">
        <v>132</v>
      </c>
      <c r="B24" s="39"/>
      <c r="C24" s="40"/>
    </row>
    <row r="25" customFormat="false" ht="21.75" hidden="false" customHeight="true" outlineLevel="0" collapsed="false">
      <c r="A25" s="38" t="s">
        <v>133</v>
      </c>
      <c r="B25" s="39"/>
      <c r="C25" s="40"/>
    </row>
    <row r="27" customFormat="false" ht="19.5" hidden="false" customHeight="true" outlineLevel="0" collapsed="false">
      <c r="A27" s="41" t="s">
        <v>134</v>
      </c>
      <c r="B27" s="41"/>
      <c r="C27" s="41"/>
    </row>
  </sheetData>
  <mergeCells count="4">
    <mergeCell ref="A1:C1"/>
    <mergeCell ref="A3:C3"/>
    <mergeCell ref="A15:C15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2026-07-20T17:53:21Z</dcterms:created>
  <dc:creator>openpyxl</dc:creator>
  <dc:description/>
  <dc:language>en-US</dc:language>
  <cp:lastModifiedBy/>
  <dcterms:modified xsi:type="dcterms:W3CDTF">2026-07-20T20:02:35Z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